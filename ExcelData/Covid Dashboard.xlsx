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4750" windowHeight="11750" firstSheet="1" activeTab="7"/>
  </bookViews>
  <sheets>
    <sheet name="Data" sheetId="1" r:id="rId1"/>
    <sheet name="DashBoard" sheetId="4" r:id="rId2"/>
    <sheet name="Cases and Recovered" sheetId="3" r:id="rId3"/>
    <sheet name="Active And Deaths" sheetId="5" r:id="rId4"/>
    <sheet name="States and Zones" sheetId="6" r:id="rId5"/>
    <sheet name="Recovered Index" sheetId="7" r:id="rId6"/>
    <sheet name="Death Index" sheetId="8" r:id="rId7"/>
    <sheet name="Sheet1" sheetId="9" r:id="rId8"/>
  </sheets>
  <externalReferences>
    <externalReference r:id="rId10"/>
  </externalReferences>
  <definedNames>
    <definedName name="Slicer_Death_Avg">#N/A</definedName>
    <definedName name="Slicer_Discharge_Avg">#N/A</definedName>
    <definedName name="Slicer_State_UTs">#N/A</definedName>
    <definedName name="Slicer_Zone">#N/A</definedName>
    <definedName name="_xlcn.WorksheetConnection_Sheet1A1L371" hidden="1">Data!$A$1:$L$37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WorksheetConnection_Sheet1!$A$1:$L$37" type="5" refreshedVersion="2" saveData="1">
    <dbPr connection="" command="" commandType="2"/>
  </connection>
</connections>
</file>

<file path=xl/sharedStrings.xml><?xml version="1.0" encoding="utf-8"?>
<sst xmlns="http://schemas.openxmlformats.org/spreadsheetml/2006/main" count="445" uniqueCount="83">
  <si>
    <t>State/UTs</t>
  </si>
  <si>
    <t>Zone</t>
  </si>
  <si>
    <t>Total Cases</t>
  </si>
  <si>
    <t>Active</t>
  </si>
  <si>
    <t>Discharged</t>
  </si>
  <si>
    <t>Deaths</t>
  </si>
  <si>
    <t>Active Ratio</t>
  </si>
  <si>
    <t>Discharge Ratio</t>
  </si>
  <si>
    <t>Discharge Avg</t>
  </si>
  <si>
    <t>Death Ratio</t>
  </si>
  <si>
    <t>Death Avg</t>
  </si>
  <si>
    <t>Population</t>
  </si>
  <si>
    <t>Andaman and Nicobar</t>
  </si>
  <si>
    <t>South</t>
  </si>
  <si>
    <t>Below Average</t>
  </si>
  <si>
    <t>Above Average</t>
  </si>
  <si>
    <t>Andhra Pradesh</t>
  </si>
  <si>
    <t>Arunachal Pradesh</t>
  </si>
  <si>
    <t>East</t>
  </si>
  <si>
    <t>Assam</t>
  </si>
  <si>
    <t>Bihar</t>
  </si>
  <si>
    <t>Chandigarh</t>
  </si>
  <si>
    <t>North</t>
  </si>
  <si>
    <t>Chhattisgarh</t>
  </si>
  <si>
    <t>Daman and Diu</t>
  </si>
  <si>
    <t>West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</si>
  <si>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</si>
  <si>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</si>
  <si>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</si>
  <si>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</si>
  <si>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</si>
  <si>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</si>
  <si>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</si>
  <si>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</si>
  <si>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</si>
  <si>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</si>
  <si>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</si>
  <si>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</si>
  <si>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</si>
  <si>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</si>
  <si>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</si>
  <si>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</si>
  <si>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</si>
  <si>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</si>
  <si>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</si>
  <si>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</si>
  <si>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</si>
  <si>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</si>
  <si>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</si>
  <si>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Telengana</t>
  </si>
  <si>
    <t>Tripura</t>
  </si>
  <si>
    <t>Uttar Pradesh</t>
  </si>
  <si>
    <t>Uttarakhand</t>
  </si>
  <si>
    <t>West Bengal</t>
  </si>
  <si>
    <t>Highest</t>
  </si>
  <si>
    <t>Least</t>
  </si>
  <si>
    <t>States</t>
  </si>
  <si>
    <t>Cases</t>
  </si>
  <si>
    <t>Andaman Nicobar</t>
  </si>
  <si>
    <t>Recovered</t>
  </si>
  <si>
    <t>Recovered %</t>
  </si>
  <si>
    <t>Death</t>
  </si>
  <si>
    <t>Death %</t>
  </si>
  <si>
    <t>Active %</t>
  </si>
  <si>
    <t>MP</t>
  </si>
  <si>
    <t>Row Labels</t>
  </si>
  <si>
    <t>Grand Total</t>
  </si>
  <si>
    <t>Total Cases by Zone</t>
  </si>
  <si>
    <t>All</t>
  </si>
  <si>
    <t>Sum of Discharge Ratio</t>
  </si>
  <si>
    <t>Sum of Death Ratio</t>
  </si>
  <si>
    <t>a</t>
  </si>
  <si>
    <t>b</t>
  </si>
  <si>
    <t>c</t>
  </si>
  <si>
    <t>d</t>
  </si>
  <si>
    <t>e</t>
  </si>
  <si>
    <t>f</t>
  </si>
  <si>
    <t>cc</t>
  </si>
  <si>
    <t>dasdqw</t>
  </si>
  <si>
    <t>eqw</t>
  </si>
  <si>
    <t>dq</t>
  </si>
  <si>
    <t>q11</t>
  </si>
  <si>
    <t>vasd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</si>
</sst>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4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1" xfId="0" applyFont="1" applyFill="1" applyBorder="1"/>
    <xf numFmtId="176" fontId="0" fillId="0" borderId="0" xfId="1" applyNumberFormat="1" applyFo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onnections" Target="connections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Recoverer</a:t>
            </a:r>
            <a:r>
              <a:rPr lang="en-US" baseline="0"/>
              <a:t> Rate </a:t>
            </a:r>
            <a:endParaRPr lang="en-US"/>
          </a:p>
        </c:rich>
      </c:tx>
      <c:layout>
        <c:manualLayout>
          <c:xMode val="edge"/>
          <c:yMode val="edge"/>
          <c:x val="0.387013779527559"/>
          <c:y val="0.013888888888888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3801109241955"/>
          <c:y val="0.102268518518519"/>
          <c:w val="0.694601045156609"/>
          <c:h val="0.7903320939049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'Recovered Index'!$B$3</c:f>
              <c:strCache>
                <c:ptCount val="1"/>
                <c:pt idx="0">
                  <c:v>Sum of Discharge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'Recovered Index'!$A$4:$A$40</c:f>
              <c:strCache>
                <c:ptCount val="37"/>
                <c:pt idx="0">
                  <c:v>Andaman and Nicobar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Daman and Diu</c:v>
                </c:pt>
                <c:pt idx="8">
                  <c:v>Delhi</c:v>
                </c:pt>
                <c:pt idx="9">
                  <c:v>Goa</c:v>
                </c:pt>
                <c:pt idx="10">
                  <c:v>Gujarat</c:v>
                </c:pt>
                <c:pt idx="11">
                  <c:v>Haryana</c:v>
                </c:pt>
                <c:pt idx="12">
                  <c:v>Himachal Pradesh</c:v>
                </c:pt>
                <c:pt idx="13">
                  <c:v>Jammu and Kashmir</c:v>
                </c:pt>
                <c:pt idx="14">
                  <c:v>Jharkhand</c:v>
                </c:pt>
                <c:pt idx="15">
                  <c:v>Karnataka</c:v>
                </c:pt>
                <c:pt idx="16">
                  <c:v>Kerala</c:v>
                </c:pt>
                <c:pt idx="17">
                  <c:v>Ladakh</c:v>
                </c:pt>
                <c:pt idx="18">
                  <c:v>Lakshadweep</c:v>
                </c:pt>
                <c:pt idx="19">
                  <c:v>Madhya Pradesh</c:v>
                </c:pt>
                <c:pt idx="20">
                  <c:v>Maharashtra</c:v>
                </c:pt>
                <c:pt idx="21">
                  <c:v>Manipur</c:v>
                </c:pt>
                <c:pt idx="22">
                  <c:v>Meghalaya</c:v>
                </c:pt>
                <c:pt idx="23">
                  <c:v>Mizoram</c:v>
                </c:pt>
                <c:pt idx="24">
                  <c:v>Nagaland</c:v>
                </c:pt>
                <c:pt idx="25">
                  <c:v>Odisha</c:v>
                </c:pt>
                <c:pt idx="26">
                  <c:v>Puducherry</c:v>
                </c:pt>
                <c:pt idx="27">
                  <c:v>Punjab</c:v>
                </c:pt>
                <c:pt idx="28">
                  <c:v>Rajasthan</c:v>
                </c:pt>
                <c:pt idx="29">
                  <c:v>Sikkim</c:v>
                </c:pt>
                <c:pt idx="30">
                  <c:v>Tamil Nadu</c:v>
                </c:pt>
                <c:pt idx="31">
                  <c:v>Telengana</c:v>
                </c:pt>
                <c:pt idx="32">
                  <c:v>Tripura</c:v>
                </c:pt>
                <c:pt idx="33">
                  <c:v>Uttar Pradesh</c:v>
                </c:pt>
                <c:pt idx="34">
                  <c:v>Uttarakhand</c:v>
                </c:pt>
                <c:pt idx="35">
                  <c:v>West Bengal</c:v>
                </c:pt>
                <c:pt idx="36">
                  <c:v>Grand Total</c:v>
                </c:pt>
              </c:strCache>
            </c:strRef>
          </c:cat>
          <c:val>
            <c:numRef>
              <c:f>'Recovered Index'!$B$4:$B$40</c:f>
              <c:numCache>
                <c:formatCode>General</c:formatCode>
                <c:ptCount val="37"/>
                <c:pt idx="0">
                  <c:v>98.23</c:v>
                </c:pt>
                <c:pt idx="1">
                  <c:v>99.15</c:v>
                </c:pt>
                <c:pt idx="2">
                  <c:v>99.42</c:v>
                </c:pt>
                <c:pt idx="3">
                  <c:v>98.48</c:v>
                </c:pt>
                <c:pt idx="4">
                  <c:v>98.67</c:v>
                </c:pt>
                <c:pt idx="5">
                  <c:v>98.71</c:v>
                </c:pt>
                <c:pt idx="6">
                  <c:v>98.63</c:v>
                </c:pt>
                <c:pt idx="7">
                  <c:v>99.96</c:v>
                </c:pt>
                <c:pt idx="8">
                  <c:v>98.23</c:v>
                </c:pt>
                <c:pt idx="9">
                  <c:v>97.96</c:v>
                </c:pt>
                <c:pt idx="10">
                  <c:v>98.75</c:v>
                </c:pt>
                <c:pt idx="11">
                  <c:v>98.68</c:v>
                </c:pt>
                <c:pt idx="12">
                  <c:v>97.82</c:v>
                </c:pt>
                <c:pt idx="13">
                  <c:v>98.23</c:v>
                </c:pt>
                <c:pt idx="14">
                  <c:v>98.49</c:v>
                </c:pt>
                <c:pt idx="15">
                  <c:v>98.46</c:v>
                </c:pt>
                <c:pt idx="16">
                  <c:v>97.92</c:v>
                </c:pt>
                <c:pt idx="17">
                  <c:v>98.27</c:v>
                </c:pt>
                <c:pt idx="18">
                  <c:v>99.51</c:v>
                </c:pt>
                <c:pt idx="19">
                  <c:v>98.66</c:v>
                </c:pt>
                <c:pt idx="20">
                  <c:v>97.64</c:v>
                </c:pt>
                <c:pt idx="21">
                  <c:v>97.79</c:v>
                </c:pt>
                <c:pt idx="22">
                  <c:v>97.93</c:v>
                </c:pt>
                <c:pt idx="23">
                  <c:v>95.25</c:v>
                </c:pt>
                <c:pt idx="24">
                  <c:v>97.33</c:v>
                </c:pt>
                <c:pt idx="25">
                  <c:v>98.96</c:v>
                </c:pt>
                <c:pt idx="26">
                  <c:v>98.33</c:v>
                </c:pt>
                <c:pt idx="27">
                  <c:v>97.2</c:v>
                </c:pt>
                <c:pt idx="28">
                  <c:v>99.05</c:v>
                </c:pt>
                <c:pt idx="29">
                  <c:v>98.38</c:v>
                </c:pt>
                <c:pt idx="30">
                  <c:v>98.3</c:v>
                </c:pt>
                <c:pt idx="31">
                  <c:v>98.85</c:v>
                </c:pt>
                <c:pt idx="32">
                  <c:v>98.9</c:v>
                </c:pt>
                <c:pt idx="33">
                  <c:v>98.66</c:v>
                </c:pt>
                <c:pt idx="34">
                  <c:v>97.8</c:v>
                </c:pt>
                <c:pt idx="35">
                  <c:v>98.29</c:v>
                </c:pt>
                <c:pt idx="36">
                  <c:v>3540.89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0865656"/>
        <c:axId val="500867256"/>
      </c:barChart>
      <c:catAx>
        <c:axId val="500865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0867256"/>
        <c:crosses val="autoZero"/>
        <c:auto val="1"/>
        <c:lblAlgn val="ctr"/>
        <c:lblOffset val="100"/>
        <c:noMultiLvlLbl val="0"/>
      </c:catAx>
      <c:valAx>
        <c:axId val="50086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0865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6b656a4-042c-4136-b3da-c83c6037c94d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Death Rate</a:t>
            </a:r>
            <a:endParaRPr lang="en-US"/>
          </a:p>
        </c:rich>
      </c:tx>
      <c:layout>
        <c:manualLayout>
          <c:xMode val="edge"/>
          <c:yMode val="edge"/>
          <c:x val="0.733482142857143"/>
          <c:y val="0.060185185185185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0441507311586"/>
          <c:y val="0.117453339165938"/>
          <c:w val="0.744751968503937"/>
          <c:h val="0.7735199766695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'Death Index'!$B$3</c:f>
              <c:strCache>
                <c:ptCount val="1"/>
                <c:pt idx="0">
                  <c:v>Sum of Death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'Death Index'!$A$4:$A$40</c:f>
              <c:strCache>
                <c:ptCount val="37"/>
                <c:pt idx="0">
                  <c:v>Punjab</c:v>
                </c:pt>
                <c:pt idx="1">
                  <c:v>Nagaland</c:v>
                </c:pt>
                <c:pt idx="2">
                  <c:v>Uttarakhand</c:v>
                </c:pt>
                <c:pt idx="3">
                  <c:v>Maharashtra</c:v>
                </c:pt>
                <c:pt idx="4">
                  <c:v>Goa</c:v>
                </c:pt>
                <c:pt idx="5">
                  <c:v>Meghalaya</c:v>
                </c:pt>
                <c:pt idx="6">
                  <c:v>Delhi</c:v>
                </c:pt>
                <c:pt idx="7">
                  <c:v>Himachal Pradesh</c:v>
                </c:pt>
                <c:pt idx="8">
                  <c:v>Andaman and Nicobar</c:v>
                </c:pt>
                <c:pt idx="9">
                  <c:v>Manipur</c:v>
                </c:pt>
                <c:pt idx="10">
                  <c:v>Jharkhand</c:v>
                </c:pt>
                <c:pt idx="11">
                  <c:v>Puducherry</c:v>
                </c:pt>
                <c:pt idx="12">
                  <c:v>Chhattisgarh</c:v>
                </c:pt>
                <c:pt idx="13">
                  <c:v>Tamil Nadu</c:v>
                </c:pt>
                <c:pt idx="14">
                  <c:v>Uttar Pradesh</c:v>
                </c:pt>
                <c:pt idx="15">
                  <c:v>Jammu and Kashmir</c:v>
                </c:pt>
                <c:pt idx="16">
                  <c:v>Madhya Pradesh</c:v>
                </c:pt>
                <c:pt idx="17">
                  <c:v>Bihar</c:v>
                </c:pt>
                <c:pt idx="18">
                  <c:v>Haryana</c:v>
                </c:pt>
                <c:pt idx="19">
                  <c:v>Karnataka</c:v>
                </c:pt>
                <c:pt idx="20">
                  <c:v>Chandigarh</c:v>
                </c:pt>
                <c:pt idx="21">
                  <c:v>Sikkim</c:v>
                </c:pt>
                <c:pt idx="22">
                  <c:v>Gujarat</c:v>
                </c:pt>
                <c:pt idx="23">
                  <c:v>West Bengal</c:v>
                </c:pt>
                <c:pt idx="24">
                  <c:v>Ladakh</c:v>
                </c:pt>
                <c:pt idx="25">
                  <c:v>Assam</c:v>
                </c:pt>
                <c:pt idx="26">
                  <c:v>Tripura</c:v>
                </c:pt>
                <c:pt idx="27">
                  <c:v>Rajasthan</c:v>
                </c:pt>
                <c:pt idx="28">
                  <c:v>Odisha</c:v>
                </c:pt>
                <c:pt idx="29">
                  <c:v>Kerala</c:v>
                </c:pt>
                <c:pt idx="30">
                  <c:v>Andhra Pradesh</c:v>
                </c:pt>
                <c:pt idx="31">
                  <c:v>Telengana</c:v>
                </c:pt>
                <c:pt idx="32">
                  <c:v>Arunachal Pradesh</c:v>
                </c:pt>
                <c:pt idx="33">
                  <c:v>Lakshadweep</c:v>
                </c:pt>
                <c:pt idx="34">
                  <c:v>Mizoram</c:v>
                </c:pt>
                <c:pt idx="35">
                  <c:v>Daman and Diu</c:v>
                </c:pt>
                <c:pt idx="36">
                  <c:v>Grand Total</c:v>
                </c:pt>
              </c:strCache>
            </c:strRef>
          </c:cat>
          <c:val>
            <c:numRef>
              <c:f>'Death Index'!$B$4:$B$40</c:f>
              <c:numCache>
                <c:formatCode>General</c:formatCode>
                <c:ptCount val="37"/>
                <c:pt idx="0">
                  <c:v>2.75</c:v>
                </c:pt>
                <c:pt idx="1">
                  <c:v>2.16</c:v>
                </c:pt>
                <c:pt idx="2">
                  <c:v>2.15</c:v>
                </c:pt>
                <c:pt idx="3">
                  <c:v>2.12</c:v>
                </c:pt>
                <c:pt idx="4">
                  <c:v>1.89</c:v>
                </c:pt>
                <c:pt idx="5">
                  <c:v>1.74</c:v>
                </c:pt>
                <c:pt idx="6">
                  <c:v>1.74</c:v>
                </c:pt>
                <c:pt idx="7">
                  <c:v>1.69</c:v>
                </c:pt>
                <c:pt idx="8">
                  <c:v>1.68</c:v>
                </c:pt>
                <c:pt idx="9">
                  <c:v>1.56</c:v>
                </c:pt>
                <c:pt idx="10">
                  <c:v>1.47</c:v>
                </c:pt>
                <c:pt idx="11">
                  <c:v>1.45</c:v>
                </c:pt>
                <c:pt idx="12">
                  <c:v>1.35</c:v>
                </c:pt>
                <c:pt idx="13">
                  <c:v>1.34</c:v>
                </c:pt>
                <c:pt idx="14">
                  <c:v>1.34</c:v>
                </c:pt>
                <c:pt idx="15">
                  <c:v>1.33</c:v>
                </c:pt>
                <c:pt idx="16">
                  <c:v>1.33</c:v>
                </c:pt>
                <c:pt idx="17">
                  <c:v>1.33</c:v>
                </c:pt>
                <c:pt idx="18">
                  <c:v>1.3</c:v>
                </c:pt>
                <c:pt idx="19">
                  <c:v>1.27</c:v>
                </c:pt>
                <c:pt idx="20">
                  <c:v>1.25</c:v>
                </c:pt>
                <c:pt idx="21">
                  <c:v>1.25</c:v>
                </c:pt>
                <c:pt idx="22">
                  <c:v>1.22</c:v>
                </c:pt>
                <c:pt idx="23">
                  <c:v>1.2</c:v>
                </c:pt>
                <c:pt idx="24">
                  <c:v>1</c:v>
                </c:pt>
                <c:pt idx="25">
                  <c:v>0.99</c:v>
                </c:pt>
                <c:pt idx="26">
                  <c:v>0.96</c:v>
                </c:pt>
                <c:pt idx="27">
                  <c:v>0.94</c:v>
                </c:pt>
                <c:pt idx="28">
                  <c:v>0.8</c:v>
                </c:pt>
                <c:pt idx="29">
                  <c:v>0.71</c:v>
                </c:pt>
                <c:pt idx="30">
                  <c:v>0.7</c:v>
                </c:pt>
                <c:pt idx="31">
                  <c:v>0.59</c:v>
                </c:pt>
                <c:pt idx="32">
                  <c:v>0.51</c:v>
                </c:pt>
                <c:pt idx="33">
                  <c:v>0.49</c:v>
                </c:pt>
                <c:pt idx="34">
                  <c:v>0.36</c:v>
                </c:pt>
                <c:pt idx="35">
                  <c:v>0.04</c:v>
                </c:pt>
                <c:pt idx="36">
                  <c:v>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4999504"/>
        <c:axId val="384999824"/>
      </c:barChart>
      <c:catAx>
        <c:axId val="38499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4999824"/>
        <c:crosses val="autoZero"/>
        <c:auto val="1"/>
        <c:lblAlgn val="ctr"/>
        <c:lblOffset val="100"/>
        <c:noMultiLvlLbl val="0"/>
      </c:catAx>
      <c:valAx>
        <c:axId val="38499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499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2ae947-5fc2-4cdc-bb94-6148a1da9a86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Cases</a:t>
            </a:r>
            <a:r>
              <a:rPr lang="en-US" baseline="0"/>
              <a:t> By Zone</a:t>
            </a:r>
            <a:endParaRPr lang="en-US"/>
          </a:p>
        </c:rich>
      </c:tx>
      <c:layout>
        <c:manualLayout>
          <c:xMode val="edge"/>
          <c:yMode val="edge"/>
          <c:x val="0.314190183591392"/>
          <c:y val="0.156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'States and Zones'!$B$1</c:f>
              <c:strCache>
                <c:ptCount val="1"/>
                <c:pt idx="0">
                  <c:v>Total Cases by Zone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'States and Zones'!$A$2:$A$6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Grand Total</c:v>
                </c:pt>
              </c:strCache>
            </c:strRef>
          </c:cat>
          <c:val>
            <c:numRef>
              <c:f>'States and Zones'!$B$2:$B$6</c:f>
              <c:numCache>
                <c:formatCode>General</c:formatCode>
                <c:ptCount val="5"/>
                <c:pt idx="0">
                  <c:v>5884786</c:v>
                </c:pt>
                <c:pt idx="1">
                  <c:v>5515107</c:v>
                </c:pt>
                <c:pt idx="2">
                  <c:v>13650538</c:v>
                </c:pt>
                <c:pt idx="3">
                  <c:v>9386876</c:v>
                </c:pt>
                <c:pt idx="4">
                  <c:v>34437307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7cc8e98-f844-451a-8293-f38863f7978c}"/>
      </c:ext>
    </c:extLst>
  </c:chart>
  <c:spPr>
    <a:solidFill>
      <a:schemeClr val="bg1"/>
    </a:solidFill>
    <a:ln w="9525" cap="flat" cmpd="sng" algn="ctr">
      <a:noFill/>
      <a:round/>
    </a:ln>
    <a:effectLst>
      <a:glow>
        <a:schemeClr val="accent1"/>
      </a:glow>
      <a:softEdge rad="190500"/>
    </a:effectLst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025371828521"/>
          <c:y val="0.107189183588893"/>
          <c:w val="0.857576115485564"/>
          <c:h val="0.696197679237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'Cases and Recovered'!$B$3</c:f>
              <c:strCache>
                <c:ptCount val="1"/>
                <c:pt idx="0">
                  <c:v>Total Cases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'Cases and Recovered'!$A$4:$A$40</c:f>
              <c:strCache>
                <c:ptCount val="37"/>
                <c:pt idx="0">
                  <c:v>Andaman and Nicobar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Daman and Diu</c:v>
                </c:pt>
                <c:pt idx="8">
                  <c:v>Delhi</c:v>
                </c:pt>
                <c:pt idx="9">
                  <c:v>Goa</c:v>
                </c:pt>
                <c:pt idx="10">
                  <c:v>Gujarat</c:v>
                </c:pt>
                <c:pt idx="11">
                  <c:v>Haryana</c:v>
                </c:pt>
                <c:pt idx="12">
                  <c:v>Himachal Pradesh</c:v>
                </c:pt>
                <c:pt idx="13">
                  <c:v>Jammu and Kashmir</c:v>
                </c:pt>
                <c:pt idx="14">
                  <c:v>Jharkhand</c:v>
                </c:pt>
                <c:pt idx="15">
                  <c:v>Karnataka</c:v>
                </c:pt>
                <c:pt idx="16">
                  <c:v>Kerala</c:v>
                </c:pt>
                <c:pt idx="17">
                  <c:v>Ladakh</c:v>
                </c:pt>
                <c:pt idx="18">
                  <c:v>Lakshadweep</c:v>
                </c:pt>
                <c:pt idx="19">
                  <c:v>Madhya Pradesh</c:v>
                </c:pt>
                <c:pt idx="20">
                  <c:v>Maharashtra</c:v>
                </c:pt>
                <c:pt idx="21">
                  <c:v>Manipur</c:v>
                </c:pt>
                <c:pt idx="22">
                  <c:v>Meghalaya</c:v>
                </c:pt>
                <c:pt idx="23">
                  <c:v>Mizoram</c:v>
                </c:pt>
                <c:pt idx="24">
                  <c:v>Nagaland</c:v>
                </c:pt>
                <c:pt idx="25">
                  <c:v>Odisha</c:v>
                </c:pt>
                <c:pt idx="26">
                  <c:v>Puducherry</c:v>
                </c:pt>
                <c:pt idx="27">
                  <c:v>Punjab</c:v>
                </c:pt>
                <c:pt idx="28">
                  <c:v>Rajasthan</c:v>
                </c:pt>
                <c:pt idx="29">
                  <c:v>Sikkim</c:v>
                </c:pt>
                <c:pt idx="30">
                  <c:v>Tamil Nadu</c:v>
                </c:pt>
                <c:pt idx="31">
                  <c:v>Telengana</c:v>
                </c:pt>
                <c:pt idx="32">
                  <c:v>Tripura</c:v>
                </c:pt>
                <c:pt idx="33">
                  <c:v>Uttar Pradesh</c:v>
                </c:pt>
                <c:pt idx="34">
                  <c:v>Uttarakhand</c:v>
                </c:pt>
                <c:pt idx="35">
                  <c:v>West Bengal</c:v>
                </c:pt>
                <c:pt idx="36">
                  <c:v>Grand Total</c:v>
                </c:pt>
              </c:strCache>
            </c:strRef>
          </c:cat>
          <c:val>
            <c:numRef>
              <c:f>'Cases and Recovered'!$B$4:$B$40</c:f>
              <c:numCache>
                <c:formatCode>General</c:formatCode>
                <c:ptCount val="37"/>
                <c:pt idx="0">
                  <c:v>7670</c:v>
                </c:pt>
                <c:pt idx="1">
                  <c:v>2069770</c:v>
                </c:pt>
                <c:pt idx="2">
                  <c:v>55216</c:v>
                </c:pt>
                <c:pt idx="3">
                  <c:v>613784</c:v>
                </c:pt>
                <c:pt idx="4">
                  <c:v>726153</c:v>
                </c:pt>
                <c:pt idx="5">
                  <c:v>65380</c:v>
                </c:pt>
                <c:pt idx="6">
                  <c:v>1006326</c:v>
                </c:pt>
                <c:pt idx="7">
                  <c:v>10682</c:v>
                </c:pt>
                <c:pt idx="8">
                  <c:v>1440388</c:v>
                </c:pt>
                <c:pt idx="9">
                  <c:v>178467</c:v>
                </c:pt>
                <c:pt idx="10">
                  <c:v>826924</c:v>
                </c:pt>
                <c:pt idx="11">
                  <c:v>771420</c:v>
                </c:pt>
                <c:pt idx="12">
                  <c:v>225712</c:v>
                </c:pt>
                <c:pt idx="13">
                  <c:v>334006</c:v>
                </c:pt>
                <c:pt idx="14">
                  <c:v>348992</c:v>
                </c:pt>
                <c:pt idx="15">
                  <c:v>2991614</c:v>
                </c:pt>
                <c:pt idx="16">
                  <c:v>5055224</c:v>
                </c:pt>
                <c:pt idx="17">
                  <c:v>21148</c:v>
                </c:pt>
                <c:pt idx="18">
                  <c:v>10365</c:v>
                </c:pt>
                <c:pt idx="19">
                  <c:v>792956</c:v>
                </c:pt>
                <c:pt idx="20">
                  <c:v>6623344</c:v>
                </c:pt>
                <c:pt idx="21">
                  <c:v>124432</c:v>
                </c:pt>
                <c:pt idx="22">
                  <c:v>84013</c:v>
                </c:pt>
                <c:pt idx="23">
                  <c:v>128604</c:v>
                </c:pt>
                <c:pt idx="24">
                  <c:v>31978</c:v>
                </c:pt>
                <c:pt idx="25">
                  <c:v>1045209</c:v>
                </c:pt>
                <c:pt idx="26">
                  <c:v>128401</c:v>
                </c:pt>
                <c:pt idx="27">
                  <c:v>602778</c:v>
                </c:pt>
                <c:pt idx="28">
                  <c:v>954503</c:v>
                </c:pt>
                <c:pt idx="29">
                  <c:v>32096</c:v>
                </c:pt>
                <c:pt idx="30">
                  <c:v>2714025</c:v>
                </c:pt>
                <c:pt idx="31">
                  <c:v>673469</c:v>
                </c:pt>
                <c:pt idx="32">
                  <c:v>84665</c:v>
                </c:pt>
                <c:pt idx="33">
                  <c:v>1710261</c:v>
                </c:pt>
                <c:pt idx="34">
                  <c:v>344014</c:v>
                </c:pt>
                <c:pt idx="35">
                  <c:v>1603318</c:v>
                </c:pt>
                <c:pt idx="36">
                  <c:v>34437307</c:v>
                </c:pt>
              </c:numCache>
            </c:numRef>
          </c:val>
        </c:ser>
        <c:ser>
          <c:idx val="1"/>
          <c:order val="1"/>
          <c:tx>
            <c:strRef>
              <c:f>'Cases and Recovered'!$C$3</c:f>
              <c:strCache>
                <c:ptCount val="1"/>
                <c:pt idx="0">
                  <c:v>Discharged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'Cases and Recovered'!$A$4:$A$40</c:f>
              <c:strCache>
                <c:ptCount val="37"/>
                <c:pt idx="0">
                  <c:v>Andaman and Nicobar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Daman and Diu</c:v>
                </c:pt>
                <c:pt idx="8">
                  <c:v>Delhi</c:v>
                </c:pt>
                <c:pt idx="9">
                  <c:v>Goa</c:v>
                </c:pt>
                <c:pt idx="10">
                  <c:v>Gujarat</c:v>
                </c:pt>
                <c:pt idx="11">
                  <c:v>Haryana</c:v>
                </c:pt>
                <c:pt idx="12">
                  <c:v>Himachal Pradesh</c:v>
                </c:pt>
                <c:pt idx="13">
                  <c:v>Jammu and Kashmir</c:v>
                </c:pt>
                <c:pt idx="14">
                  <c:v>Jharkhand</c:v>
                </c:pt>
                <c:pt idx="15">
                  <c:v>Karnataka</c:v>
                </c:pt>
                <c:pt idx="16">
                  <c:v>Kerala</c:v>
                </c:pt>
                <c:pt idx="17">
                  <c:v>Ladakh</c:v>
                </c:pt>
                <c:pt idx="18">
                  <c:v>Lakshadweep</c:v>
                </c:pt>
                <c:pt idx="19">
                  <c:v>Madhya Pradesh</c:v>
                </c:pt>
                <c:pt idx="20">
                  <c:v>Maharashtra</c:v>
                </c:pt>
                <c:pt idx="21">
                  <c:v>Manipur</c:v>
                </c:pt>
                <c:pt idx="22">
                  <c:v>Meghalaya</c:v>
                </c:pt>
                <c:pt idx="23">
                  <c:v>Mizoram</c:v>
                </c:pt>
                <c:pt idx="24">
                  <c:v>Nagaland</c:v>
                </c:pt>
                <c:pt idx="25">
                  <c:v>Odisha</c:v>
                </c:pt>
                <c:pt idx="26">
                  <c:v>Puducherry</c:v>
                </c:pt>
                <c:pt idx="27">
                  <c:v>Punjab</c:v>
                </c:pt>
                <c:pt idx="28">
                  <c:v>Rajasthan</c:v>
                </c:pt>
                <c:pt idx="29">
                  <c:v>Sikkim</c:v>
                </c:pt>
                <c:pt idx="30">
                  <c:v>Tamil Nadu</c:v>
                </c:pt>
                <c:pt idx="31">
                  <c:v>Telengana</c:v>
                </c:pt>
                <c:pt idx="32">
                  <c:v>Tripura</c:v>
                </c:pt>
                <c:pt idx="33">
                  <c:v>Uttar Pradesh</c:v>
                </c:pt>
                <c:pt idx="34">
                  <c:v>Uttarakhand</c:v>
                </c:pt>
                <c:pt idx="35">
                  <c:v>West Bengal</c:v>
                </c:pt>
                <c:pt idx="36">
                  <c:v>Grand Total</c:v>
                </c:pt>
              </c:strCache>
            </c:strRef>
          </c:cat>
          <c:val>
            <c:numRef>
              <c:f>'Cases and Recovered'!$C$4:$C$40</c:f>
              <c:numCache>
                <c:formatCode>General</c:formatCode>
                <c:ptCount val="37"/>
                <c:pt idx="0">
                  <c:v>7534</c:v>
                </c:pt>
                <c:pt idx="1">
                  <c:v>2052230</c:v>
                </c:pt>
                <c:pt idx="2">
                  <c:v>54894</c:v>
                </c:pt>
                <c:pt idx="3">
                  <c:v>604465</c:v>
                </c:pt>
                <c:pt idx="4">
                  <c:v>716462</c:v>
                </c:pt>
                <c:pt idx="5">
                  <c:v>64536</c:v>
                </c:pt>
                <c:pt idx="6">
                  <c:v>992508</c:v>
                </c:pt>
                <c:pt idx="7">
                  <c:v>10678</c:v>
                </c:pt>
                <c:pt idx="8">
                  <c:v>1414934</c:v>
                </c:pt>
                <c:pt idx="9">
                  <c:v>174830</c:v>
                </c:pt>
                <c:pt idx="10">
                  <c:v>816608</c:v>
                </c:pt>
                <c:pt idx="11">
                  <c:v>761230</c:v>
                </c:pt>
                <c:pt idx="12">
                  <c:v>220800</c:v>
                </c:pt>
                <c:pt idx="13">
                  <c:v>328108</c:v>
                </c:pt>
                <c:pt idx="14">
                  <c:v>343713</c:v>
                </c:pt>
                <c:pt idx="15">
                  <c:v>2945415</c:v>
                </c:pt>
                <c:pt idx="16">
                  <c:v>4950281</c:v>
                </c:pt>
                <c:pt idx="17">
                  <c:v>20783</c:v>
                </c:pt>
                <c:pt idx="18">
                  <c:v>10314</c:v>
                </c:pt>
                <c:pt idx="19">
                  <c:v>782357</c:v>
                </c:pt>
                <c:pt idx="20">
                  <c:v>6466913</c:v>
                </c:pt>
                <c:pt idx="21">
                  <c:v>121687</c:v>
                </c:pt>
                <c:pt idx="22">
                  <c:v>82274</c:v>
                </c:pt>
                <c:pt idx="23">
                  <c:v>122494</c:v>
                </c:pt>
                <c:pt idx="24">
                  <c:v>31123</c:v>
                </c:pt>
                <c:pt idx="25">
                  <c:v>1034300</c:v>
                </c:pt>
                <c:pt idx="26">
                  <c:v>126263</c:v>
                </c:pt>
                <c:pt idx="27">
                  <c:v>585889</c:v>
                </c:pt>
                <c:pt idx="28">
                  <c:v>945478</c:v>
                </c:pt>
                <c:pt idx="29">
                  <c:v>31575</c:v>
                </c:pt>
                <c:pt idx="30">
                  <c:v>2668001</c:v>
                </c:pt>
                <c:pt idx="31">
                  <c:v>665755</c:v>
                </c:pt>
                <c:pt idx="32">
                  <c:v>83732</c:v>
                </c:pt>
                <c:pt idx="33">
                  <c:v>1687262</c:v>
                </c:pt>
                <c:pt idx="34">
                  <c:v>336453</c:v>
                </c:pt>
                <c:pt idx="35">
                  <c:v>1575980</c:v>
                </c:pt>
                <c:pt idx="36">
                  <c:v>33837859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0395512"/>
        <c:axId val="770402232"/>
      </c:barChart>
      <c:catAx>
        <c:axId val="770395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0402232"/>
        <c:crosses val="autoZero"/>
        <c:auto val="1"/>
        <c:lblAlgn val="ctr"/>
        <c:lblOffset val="100"/>
        <c:noMultiLvlLbl val="0"/>
      </c:catAx>
      <c:valAx>
        <c:axId val="770402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0395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2022965879265"/>
          <c:y val="0.0216220605000132"/>
          <c:w val="0.619643700787402"/>
          <c:h val="0.0789151356080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e957f39-bf89-42c9-b165-34c324bc4924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358705161855"/>
          <c:y val="0.0462962962962963"/>
          <c:w val="0.870215660542432"/>
          <c:h val="0.6428838582677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'Active And Deaths'!$B$1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'Active And Deaths'!$A$2:$A$38</c:f>
              <c:strCache>
                <c:ptCount val="37"/>
                <c:pt idx="0">
                  <c:v>Kerala</c:v>
                </c:pt>
                <c:pt idx="1">
                  <c:v>Maharashtra</c:v>
                </c:pt>
                <c:pt idx="2">
                  <c:v>Tamil Nadu</c:v>
                </c:pt>
                <c:pt idx="3">
                  <c:v>Karnataka</c:v>
                </c:pt>
                <c:pt idx="4">
                  <c:v>West Bengal</c:v>
                </c:pt>
                <c:pt idx="5">
                  <c:v>Mizoram</c:v>
                </c:pt>
                <c:pt idx="6">
                  <c:v>Telengana</c:v>
                </c:pt>
                <c:pt idx="7">
                  <c:v>Assam</c:v>
                </c:pt>
                <c:pt idx="8">
                  <c:v>Andhra Pradesh</c:v>
                </c:pt>
                <c:pt idx="9">
                  <c:v>Odisha</c:v>
                </c:pt>
                <c:pt idx="10">
                  <c:v>Jammu and Kashmir</c:v>
                </c:pt>
                <c:pt idx="11">
                  <c:v>Himachal Pradesh</c:v>
                </c:pt>
                <c:pt idx="12">
                  <c:v>Manipur</c:v>
                </c:pt>
                <c:pt idx="13">
                  <c:v>Delhi</c:v>
                </c:pt>
                <c:pt idx="14">
                  <c:v>Punjab</c:v>
                </c:pt>
                <c:pt idx="15">
                  <c:v>Meghalaya</c:v>
                </c:pt>
                <c:pt idx="16">
                  <c:v>Puducherry</c:v>
                </c:pt>
                <c:pt idx="17">
                  <c:v>Goa</c:v>
                </c:pt>
                <c:pt idx="18">
                  <c:v>Chhattisgarh</c:v>
                </c:pt>
                <c:pt idx="19">
                  <c:v>Gujarat</c:v>
                </c:pt>
                <c:pt idx="20">
                  <c:v>Nagaland</c:v>
                </c:pt>
                <c:pt idx="21">
                  <c:v>Uttarakhand</c:v>
                </c:pt>
                <c:pt idx="22">
                  <c:v>Ladakh</c:v>
                </c:pt>
                <c:pt idx="23">
                  <c:v>Jharkhand</c:v>
                </c:pt>
                <c:pt idx="24">
                  <c:v>Haryana</c:v>
                </c:pt>
                <c:pt idx="25">
                  <c:v>Sikkim</c:v>
                </c:pt>
                <c:pt idx="26">
                  <c:v>Tripura</c:v>
                </c:pt>
                <c:pt idx="27">
                  <c:v>Uttar Pradesh</c:v>
                </c:pt>
                <c:pt idx="28">
                  <c:v>Madhya Pradesh</c:v>
                </c:pt>
                <c:pt idx="29">
                  <c:v>Rajasthan</c:v>
                </c:pt>
                <c:pt idx="30">
                  <c:v>Arunachal Pradesh</c:v>
                </c:pt>
                <c:pt idx="31">
                  <c:v>Bihar</c:v>
                </c:pt>
                <c:pt idx="32">
                  <c:v>Chandigarh</c:v>
                </c:pt>
                <c:pt idx="33">
                  <c:v>Andaman and Nicobar</c:v>
                </c:pt>
                <c:pt idx="34">
                  <c:v>Daman and Diu</c:v>
                </c:pt>
                <c:pt idx="35">
                  <c:v>Lakshadweep</c:v>
                </c:pt>
                <c:pt idx="36">
                  <c:v>Grand Total</c:v>
                </c:pt>
              </c:strCache>
            </c:strRef>
          </c:cat>
          <c:val>
            <c:numRef>
              <c:f>'Active And Deaths'!$B$2:$B$38</c:f>
              <c:numCache>
                <c:formatCode>General</c:formatCode>
                <c:ptCount val="37"/>
                <c:pt idx="0">
                  <c:v>69258</c:v>
                </c:pt>
                <c:pt idx="1">
                  <c:v>15866</c:v>
                </c:pt>
                <c:pt idx="2">
                  <c:v>9751</c:v>
                </c:pt>
                <c:pt idx="3">
                  <c:v>8056</c:v>
                </c:pt>
                <c:pt idx="4">
                  <c:v>8031</c:v>
                </c:pt>
                <c:pt idx="5">
                  <c:v>5651</c:v>
                </c:pt>
                <c:pt idx="6">
                  <c:v>3741</c:v>
                </c:pt>
                <c:pt idx="7">
                  <c:v>3272</c:v>
                </c:pt>
                <c:pt idx="8">
                  <c:v>3128</c:v>
                </c:pt>
                <c:pt idx="9">
                  <c:v>2534</c:v>
                </c:pt>
                <c:pt idx="10">
                  <c:v>1450</c:v>
                </c:pt>
                <c:pt idx="11">
                  <c:v>1100</c:v>
                </c:pt>
                <c:pt idx="12">
                  <c:v>799</c:v>
                </c:pt>
                <c:pt idx="13">
                  <c:v>361</c:v>
                </c:pt>
                <c:pt idx="14">
                  <c:v>318</c:v>
                </c:pt>
                <c:pt idx="15">
                  <c:v>277</c:v>
                </c:pt>
                <c:pt idx="16">
                  <c:v>275</c:v>
                </c:pt>
                <c:pt idx="17">
                  <c:v>263</c:v>
                </c:pt>
                <c:pt idx="18">
                  <c:v>230</c:v>
                </c:pt>
                <c:pt idx="19">
                  <c:v>226</c:v>
                </c:pt>
                <c:pt idx="20">
                  <c:v>163</c:v>
                </c:pt>
                <c:pt idx="21">
                  <c:v>158</c:v>
                </c:pt>
                <c:pt idx="22">
                  <c:v>154</c:v>
                </c:pt>
                <c:pt idx="23">
                  <c:v>141</c:v>
                </c:pt>
                <c:pt idx="24">
                  <c:v>140</c:v>
                </c:pt>
                <c:pt idx="25">
                  <c:v>121</c:v>
                </c:pt>
                <c:pt idx="26">
                  <c:v>116</c:v>
                </c:pt>
                <c:pt idx="27">
                  <c:v>90</c:v>
                </c:pt>
                <c:pt idx="28">
                  <c:v>75</c:v>
                </c:pt>
                <c:pt idx="29">
                  <c:v>71</c:v>
                </c:pt>
                <c:pt idx="30">
                  <c:v>42</c:v>
                </c:pt>
                <c:pt idx="31">
                  <c:v>29</c:v>
                </c:pt>
                <c:pt idx="32">
                  <c:v>24</c:v>
                </c:pt>
                <c:pt idx="33">
                  <c:v>7</c:v>
                </c:pt>
                <c:pt idx="34">
                  <c:v>0</c:v>
                </c:pt>
                <c:pt idx="35">
                  <c:v>0</c:v>
                </c:pt>
                <c:pt idx="36">
                  <c:v>135918</c:v>
                </c:pt>
              </c:numCache>
            </c:numRef>
          </c:val>
        </c:ser>
        <c:ser>
          <c:idx val="1"/>
          <c:order val="1"/>
          <c:tx>
            <c:strRef>
              <c:f>'Active And Deaths'!$C$1</c:f>
              <c:strCache>
                <c:ptCount val="1"/>
                <c:pt idx="0">
                  <c:v>Deaths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'Active And Deaths'!$A$2:$A$38</c:f>
              <c:strCache>
                <c:ptCount val="37"/>
                <c:pt idx="0">
                  <c:v>Kerala</c:v>
                </c:pt>
                <c:pt idx="1">
                  <c:v>Maharashtra</c:v>
                </c:pt>
                <c:pt idx="2">
                  <c:v>Tamil Nadu</c:v>
                </c:pt>
                <c:pt idx="3">
                  <c:v>Karnataka</c:v>
                </c:pt>
                <c:pt idx="4">
                  <c:v>West Bengal</c:v>
                </c:pt>
                <c:pt idx="5">
                  <c:v>Mizoram</c:v>
                </c:pt>
                <c:pt idx="6">
                  <c:v>Telengana</c:v>
                </c:pt>
                <c:pt idx="7">
                  <c:v>Assam</c:v>
                </c:pt>
                <c:pt idx="8">
                  <c:v>Andhra Pradesh</c:v>
                </c:pt>
                <c:pt idx="9">
                  <c:v>Odisha</c:v>
                </c:pt>
                <c:pt idx="10">
                  <c:v>Jammu and Kashmir</c:v>
                </c:pt>
                <c:pt idx="11">
                  <c:v>Himachal Pradesh</c:v>
                </c:pt>
                <c:pt idx="12">
                  <c:v>Manipur</c:v>
                </c:pt>
                <c:pt idx="13">
                  <c:v>Delhi</c:v>
                </c:pt>
                <c:pt idx="14">
                  <c:v>Punjab</c:v>
                </c:pt>
                <c:pt idx="15">
                  <c:v>Meghalaya</c:v>
                </c:pt>
                <c:pt idx="16">
                  <c:v>Puducherry</c:v>
                </c:pt>
                <c:pt idx="17">
                  <c:v>Goa</c:v>
                </c:pt>
                <c:pt idx="18">
                  <c:v>Chhattisgarh</c:v>
                </c:pt>
                <c:pt idx="19">
                  <c:v>Gujarat</c:v>
                </c:pt>
                <c:pt idx="20">
                  <c:v>Nagaland</c:v>
                </c:pt>
                <c:pt idx="21">
                  <c:v>Uttarakhand</c:v>
                </c:pt>
                <c:pt idx="22">
                  <c:v>Ladakh</c:v>
                </c:pt>
                <c:pt idx="23">
                  <c:v>Jharkhand</c:v>
                </c:pt>
                <c:pt idx="24">
                  <c:v>Haryana</c:v>
                </c:pt>
                <c:pt idx="25">
                  <c:v>Sikkim</c:v>
                </c:pt>
                <c:pt idx="26">
                  <c:v>Tripura</c:v>
                </c:pt>
                <c:pt idx="27">
                  <c:v>Uttar Pradesh</c:v>
                </c:pt>
                <c:pt idx="28">
                  <c:v>Madhya Pradesh</c:v>
                </c:pt>
                <c:pt idx="29">
                  <c:v>Rajasthan</c:v>
                </c:pt>
                <c:pt idx="30">
                  <c:v>Arunachal Pradesh</c:v>
                </c:pt>
                <c:pt idx="31">
                  <c:v>Bihar</c:v>
                </c:pt>
                <c:pt idx="32">
                  <c:v>Chandigarh</c:v>
                </c:pt>
                <c:pt idx="33">
                  <c:v>Andaman and Nicobar</c:v>
                </c:pt>
                <c:pt idx="34">
                  <c:v>Daman and Diu</c:v>
                </c:pt>
                <c:pt idx="35">
                  <c:v>Lakshadweep</c:v>
                </c:pt>
                <c:pt idx="36">
                  <c:v>Grand Total</c:v>
                </c:pt>
              </c:strCache>
            </c:strRef>
          </c:cat>
          <c:val>
            <c:numRef>
              <c:f>'Active And Deaths'!$C$2:$C$38</c:f>
              <c:numCache>
                <c:formatCode>General</c:formatCode>
                <c:ptCount val="37"/>
                <c:pt idx="0">
                  <c:v>35685</c:v>
                </c:pt>
                <c:pt idx="1">
                  <c:v>140565</c:v>
                </c:pt>
                <c:pt idx="2">
                  <c:v>36273</c:v>
                </c:pt>
                <c:pt idx="3">
                  <c:v>38143</c:v>
                </c:pt>
                <c:pt idx="4">
                  <c:v>19307</c:v>
                </c:pt>
                <c:pt idx="5">
                  <c:v>459</c:v>
                </c:pt>
                <c:pt idx="6">
                  <c:v>3973</c:v>
                </c:pt>
                <c:pt idx="7">
                  <c:v>6047</c:v>
                </c:pt>
                <c:pt idx="8">
                  <c:v>14412</c:v>
                </c:pt>
                <c:pt idx="9">
                  <c:v>8375</c:v>
                </c:pt>
                <c:pt idx="10">
                  <c:v>4448</c:v>
                </c:pt>
                <c:pt idx="11">
                  <c:v>3812</c:v>
                </c:pt>
                <c:pt idx="12">
                  <c:v>1946</c:v>
                </c:pt>
                <c:pt idx="13">
                  <c:v>25093</c:v>
                </c:pt>
                <c:pt idx="14">
                  <c:v>16571</c:v>
                </c:pt>
                <c:pt idx="15">
                  <c:v>1462</c:v>
                </c:pt>
                <c:pt idx="16">
                  <c:v>1863</c:v>
                </c:pt>
                <c:pt idx="17">
                  <c:v>3374</c:v>
                </c:pt>
                <c:pt idx="18">
                  <c:v>13588</c:v>
                </c:pt>
                <c:pt idx="19">
                  <c:v>10090</c:v>
                </c:pt>
                <c:pt idx="20">
                  <c:v>692</c:v>
                </c:pt>
                <c:pt idx="21">
                  <c:v>7403</c:v>
                </c:pt>
                <c:pt idx="22">
                  <c:v>211</c:v>
                </c:pt>
                <c:pt idx="23">
                  <c:v>5138</c:v>
                </c:pt>
                <c:pt idx="24">
                  <c:v>10050</c:v>
                </c:pt>
                <c:pt idx="25">
                  <c:v>400</c:v>
                </c:pt>
                <c:pt idx="26">
                  <c:v>817</c:v>
                </c:pt>
                <c:pt idx="27">
                  <c:v>22909</c:v>
                </c:pt>
                <c:pt idx="28">
                  <c:v>10524</c:v>
                </c:pt>
                <c:pt idx="29">
                  <c:v>8954</c:v>
                </c:pt>
                <c:pt idx="30">
                  <c:v>280</c:v>
                </c:pt>
                <c:pt idx="31">
                  <c:v>9662</c:v>
                </c:pt>
                <c:pt idx="32">
                  <c:v>820</c:v>
                </c:pt>
                <c:pt idx="33">
                  <c:v>129</c:v>
                </c:pt>
                <c:pt idx="34">
                  <c:v>4</c:v>
                </c:pt>
                <c:pt idx="35">
                  <c:v>51</c:v>
                </c:pt>
                <c:pt idx="36">
                  <c:v>463530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699768"/>
        <c:axId val="521698808"/>
      </c:barChart>
      <c:catAx>
        <c:axId val="521699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1698808"/>
        <c:crosses val="autoZero"/>
        <c:auto val="1"/>
        <c:lblAlgn val="ctr"/>
        <c:lblOffset val="100"/>
        <c:noMultiLvlLbl val="0"/>
      </c:catAx>
      <c:valAx>
        <c:axId val="521698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1699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0911576018692346"/>
          <c:y val="0.00936630675656562"/>
          <c:w val="0.893300783799967"/>
          <c:h val="0.08857403303628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5c9c076-2467-4899-88a5-0c0c068b6564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Recovered</a:t>
            </a:r>
            <a:r>
              <a:rPr lang="en-US" baseline="0"/>
              <a:t> Avg </a:t>
            </a:r>
            <a:endParaRPr lang="en-US"/>
          </a:p>
        </c:rich>
      </c:tx>
      <c:layout>
        <c:manualLayout>
          <c:xMode val="edge"/>
          <c:yMode val="edge"/>
          <c:x val="0.387013779527559"/>
          <c:y val="0.013888888888888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54178696412948"/>
          <c:y val="0.102268518518519"/>
          <c:w val="0.716487970253718"/>
          <c:h val="0.7903320939049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'Recovered Index'!$B$3</c:f>
              <c:strCache>
                <c:ptCount val="1"/>
                <c:pt idx="0">
                  <c:v>Sum of Discharge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'Recovered Index'!$A$4:$A$40</c:f>
              <c:strCache>
                <c:ptCount val="37"/>
                <c:pt idx="0">
                  <c:v>Andaman and Nicobar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Daman and Diu</c:v>
                </c:pt>
                <c:pt idx="8">
                  <c:v>Delhi</c:v>
                </c:pt>
                <c:pt idx="9">
                  <c:v>Goa</c:v>
                </c:pt>
                <c:pt idx="10">
                  <c:v>Gujarat</c:v>
                </c:pt>
                <c:pt idx="11">
                  <c:v>Haryana</c:v>
                </c:pt>
                <c:pt idx="12">
                  <c:v>Himachal Pradesh</c:v>
                </c:pt>
                <c:pt idx="13">
                  <c:v>Jammu and Kashmir</c:v>
                </c:pt>
                <c:pt idx="14">
                  <c:v>Jharkhand</c:v>
                </c:pt>
                <c:pt idx="15">
                  <c:v>Karnataka</c:v>
                </c:pt>
                <c:pt idx="16">
                  <c:v>Kerala</c:v>
                </c:pt>
                <c:pt idx="17">
                  <c:v>Ladakh</c:v>
                </c:pt>
                <c:pt idx="18">
                  <c:v>Lakshadweep</c:v>
                </c:pt>
                <c:pt idx="19">
                  <c:v>Madhya Pradesh</c:v>
                </c:pt>
                <c:pt idx="20">
                  <c:v>Maharashtra</c:v>
                </c:pt>
                <c:pt idx="21">
                  <c:v>Manipur</c:v>
                </c:pt>
                <c:pt idx="22">
                  <c:v>Meghalaya</c:v>
                </c:pt>
                <c:pt idx="23">
                  <c:v>Mizoram</c:v>
                </c:pt>
                <c:pt idx="24">
                  <c:v>Nagaland</c:v>
                </c:pt>
                <c:pt idx="25">
                  <c:v>Odisha</c:v>
                </c:pt>
                <c:pt idx="26">
                  <c:v>Puducherry</c:v>
                </c:pt>
                <c:pt idx="27">
                  <c:v>Punjab</c:v>
                </c:pt>
                <c:pt idx="28">
                  <c:v>Rajasthan</c:v>
                </c:pt>
                <c:pt idx="29">
                  <c:v>Sikkim</c:v>
                </c:pt>
                <c:pt idx="30">
                  <c:v>Tamil Nadu</c:v>
                </c:pt>
                <c:pt idx="31">
                  <c:v>Telengana</c:v>
                </c:pt>
                <c:pt idx="32">
                  <c:v>Tripura</c:v>
                </c:pt>
                <c:pt idx="33">
                  <c:v>Uttar Pradesh</c:v>
                </c:pt>
                <c:pt idx="34">
                  <c:v>Uttarakhand</c:v>
                </c:pt>
                <c:pt idx="35">
                  <c:v>West Bengal</c:v>
                </c:pt>
                <c:pt idx="36">
                  <c:v>Grand Total</c:v>
                </c:pt>
              </c:strCache>
            </c:strRef>
          </c:cat>
          <c:val>
            <c:numRef>
              <c:f>'Recovered Index'!$B$4:$B$40</c:f>
              <c:numCache>
                <c:formatCode>General</c:formatCode>
                <c:ptCount val="37"/>
                <c:pt idx="0">
                  <c:v>98.23</c:v>
                </c:pt>
                <c:pt idx="1">
                  <c:v>99.15</c:v>
                </c:pt>
                <c:pt idx="2">
                  <c:v>99.42</c:v>
                </c:pt>
                <c:pt idx="3">
                  <c:v>98.48</c:v>
                </c:pt>
                <c:pt idx="4">
                  <c:v>98.67</c:v>
                </c:pt>
                <c:pt idx="5">
                  <c:v>98.71</c:v>
                </c:pt>
                <c:pt idx="6">
                  <c:v>98.63</c:v>
                </c:pt>
                <c:pt idx="7">
                  <c:v>99.96</c:v>
                </c:pt>
                <c:pt idx="8">
                  <c:v>98.23</c:v>
                </c:pt>
                <c:pt idx="9">
                  <c:v>97.96</c:v>
                </c:pt>
                <c:pt idx="10">
                  <c:v>98.75</c:v>
                </c:pt>
                <c:pt idx="11">
                  <c:v>98.68</c:v>
                </c:pt>
                <c:pt idx="12">
                  <c:v>97.82</c:v>
                </c:pt>
                <c:pt idx="13">
                  <c:v>98.23</c:v>
                </c:pt>
                <c:pt idx="14">
                  <c:v>98.49</c:v>
                </c:pt>
                <c:pt idx="15">
                  <c:v>98.46</c:v>
                </c:pt>
                <c:pt idx="16">
                  <c:v>97.92</c:v>
                </c:pt>
                <c:pt idx="17">
                  <c:v>98.27</c:v>
                </c:pt>
                <c:pt idx="18">
                  <c:v>99.51</c:v>
                </c:pt>
                <c:pt idx="19">
                  <c:v>98.66</c:v>
                </c:pt>
                <c:pt idx="20">
                  <c:v>97.64</c:v>
                </c:pt>
                <c:pt idx="21">
                  <c:v>97.79</c:v>
                </c:pt>
                <c:pt idx="22">
                  <c:v>97.93</c:v>
                </c:pt>
                <c:pt idx="23">
                  <c:v>95.25</c:v>
                </c:pt>
                <c:pt idx="24">
                  <c:v>97.33</c:v>
                </c:pt>
                <c:pt idx="25">
                  <c:v>98.96</c:v>
                </c:pt>
                <c:pt idx="26">
                  <c:v>98.33</c:v>
                </c:pt>
                <c:pt idx="27">
                  <c:v>97.2</c:v>
                </c:pt>
                <c:pt idx="28">
                  <c:v>99.05</c:v>
                </c:pt>
                <c:pt idx="29">
                  <c:v>98.38</c:v>
                </c:pt>
                <c:pt idx="30">
                  <c:v>98.3</c:v>
                </c:pt>
                <c:pt idx="31">
                  <c:v>98.85</c:v>
                </c:pt>
                <c:pt idx="32">
                  <c:v>98.9</c:v>
                </c:pt>
                <c:pt idx="33">
                  <c:v>98.66</c:v>
                </c:pt>
                <c:pt idx="34">
                  <c:v>97.8</c:v>
                </c:pt>
                <c:pt idx="35">
                  <c:v>98.29</c:v>
                </c:pt>
                <c:pt idx="36">
                  <c:v>3540.89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0865656"/>
        <c:axId val="500867256"/>
      </c:barChart>
      <c:catAx>
        <c:axId val="500865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0867256"/>
        <c:crosses val="autoZero"/>
        <c:auto val="1"/>
        <c:lblAlgn val="ctr"/>
        <c:lblOffset val="100"/>
        <c:noMultiLvlLbl val="0"/>
      </c:catAx>
      <c:valAx>
        <c:axId val="50086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0865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30899d3-7537-470e-81c0-e6d009339a94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Death Average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2248031496063"/>
          <c:y val="0.119080635753864"/>
          <c:w val="0.744751968503937"/>
          <c:h val="0.7735199766695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'Death Index'!$B$3</c:f>
              <c:strCache>
                <c:ptCount val="1"/>
                <c:pt idx="0">
                  <c:v>Sum of Death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'Death Index'!$A$4:$A$40</c:f>
              <c:strCache>
                <c:ptCount val="37"/>
                <c:pt idx="0">
                  <c:v>Punjab</c:v>
                </c:pt>
                <c:pt idx="1">
                  <c:v>Nagaland</c:v>
                </c:pt>
                <c:pt idx="2">
                  <c:v>Uttarakhand</c:v>
                </c:pt>
                <c:pt idx="3">
                  <c:v>Maharashtra</c:v>
                </c:pt>
                <c:pt idx="4">
                  <c:v>Goa</c:v>
                </c:pt>
                <c:pt idx="5">
                  <c:v>Meghalaya</c:v>
                </c:pt>
                <c:pt idx="6">
                  <c:v>Delhi</c:v>
                </c:pt>
                <c:pt idx="7">
                  <c:v>Himachal Pradesh</c:v>
                </c:pt>
                <c:pt idx="8">
                  <c:v>Andaman and Nicobar</c:v>
                </c:pt>
                <c:pt idx="9">
                  <c:v>Manipur</c:v>
                </c:pt>
                <c:pt idx="10">
                  <c:v>Jharkhand</c:v>
                </c:pt>
                <c:pt idx="11">
                  <c:v>Puducherry</c:v>
                </c:pt>
                <c:pt idx="12">
                  <c:v>Chhattisgarh</c:v>
                </c:pt>
                <c:pt idx="13">
                  <c:v>Tamil Nadu</c:v>
                </c:pt>
                <c:pt idx="14">
                  <c:v>Uttar Pradesh</c:v>
                </c:pt>
                <c:pt idx="15">
                  <c:v>Jammu and Kashmir</c:v>
                </c:pt>
                <c:pt idx="16">
                  <c:v>Madhya Pradesh</c:v>
                </c:pt>
                <c:pt idx="17">
                  <c:v>Bihar</c:v>
                </c:pt>
                <c:pt idx="18">
                  <c:v>Haryana</c:v>
                </c:pt>
                <c:pt idx="19">
                  <c:v>Karnataka</c:v>
                </c:pt>
                <c:pt idx="20">
                  <c:v>Chandigarh</c:v>
                </c:pt>
                <c:pt idx="21">
                  <c:v>Sikkim</c:v>
                </c:pt>
                <c:pt idx="22">
                  <c:v>Gujarat</c:v>
                </c:pt>
                <c:pt idx="23">
                  <c:v>West Bengal</c:v>
                </c:pt>
                <c:pt idx="24">
                  <c:v>Ladakh</c:v>
                </c:pt>
                <c:pt idx="25">
                  <c:v>Assam</c:v>
                </c:pt>
                <c:pt idx="26">
                  <c:v>Tripura</c:v>
                </c:pt>
                <c:pt idx="27">
                  <c:v>Rajasthan</c:v>
                </c:pt>
                <c:pt idx="28">
                  <c:v>Odisha</c:v>
                </c:pt>
                <c:pt idx="29">
                  <c:v>Kerala</c:v>
                </c:pt>
                <c:pt idx="30">
                  <c:v>Andhra Pradesh</c:v>
                </c:pt>
                <c:pt idx="31">
                  <c:v>Telengana</c:v>
                </c:pt>
                <c:pt idx="32">
                  <c:v>Arunachal Pradesh</c:v>
                </c:pt>
                <c:pt idx="33">
                  <c:v>Lakshadweep</c:v>
                </c:pt>
                <c:pt idx="34">
                  <c:v>Mizoram</c:v>
                </c:pt>
                <c:pt idx="35">
                  <c:v>Daman and Diu</c:v>
                </c:pt>
                <c:pt idx="36">
                  <c:v>Grand Total</c:v>
                </c:pt>
              </c:strCache>
            </c:strRef>
          </c:cat>
          <c:val>
            <c:numRef>
              <c:f>'Death Index'!$B$4:$B$40</c:f>
              <c:numCache>
                <c:formatCode>General</c:formatCode>
                <c:ptCount val="37"/>
                <c:pt idx="0">
                  <c:v>2.75</c:v>
                </c:pt>
                <c:pt idx="1">
                  <c:v>2.16</c:v>
                </c:pt>
                <c:pt idx="2">
                  <c:v>2.15</c:v>
                </c:pt>
                <c:pt idx="3">
                  <c:v>2.12</c:v>
                </c:pt>
                <c:pt idx="4">
                  <c:v>1.89</c:v>
                </c:pt>
                <c:pt idx="5">
                  <c:v>1.74</c:v>
                </c:pt>
                <c:pt idx="6">
                  <c:v>1.74</c:v>
                </c:pt>
                <c:pt idx="7">
                  <c:v>1.69</c:v>
                </c:pt>
                <c:pt idx="8">
                  <c:v>1.68</c:v>
                </c:pt>
                <c:pt idx="9">
                  <c:v>1.56</c:v>
                </c:pt>
                <c:pt idx="10">
                  <c:v>1.47</c:v>
                </c:pt>
                <c:pt idx="11">
                  <c:v>1.45</c:v>
                </c:pt>
                <c:pt idx="12">
                  <c:v>1.35</c:v>
                </c:pt>
                <c:pt idx="13">
                  <c:v>1.34</c:v>
                </c:pt>
                <c:pt idx="14">
                  <c:v>1.34</c:v>
                </c:pt>
                <c:pt idx="15">
                  <c:v>1.33</c:v>
                </c:pt>
                <c:pt idx="16">
                  <c:v>1.33</c:v>
                </c:pt>
                <c:pt idx="17">
                  <c:v>1.33</c:v>
                </c:pt>
                <c:pt idx="18">
                  <c:v>1.3</c:v>
                </c:pt>
                <c:pt idx="19">
                  <c:v>1.27</c:v>
                </c:pt>
                <c:pt idx="20">
                  <c:v>1.25</c:v>
                </c:pt>
                <c:pt idx="21">
                  <c:v>1.25</c:v>
                </c:pt>
                <c:pt idx="22">
                  <c:v>1.22</c:v>
                </c:pt>
                <c:pt idx="23">
                  <c:v>1.2</c:v>
                </c:pt>
                <c:pt idx="24">
                  <c:v>1</c:v>
                </c:pt>
                <c:pt idx="25">
                  <c:v>0.99</c:v>
                </c:pt>
                <c:pt idx="26">
                  <c:v>0.96</c:v>
                </c:pt>
                <c:pt idx="27">
                  <c:v>0.94</c:v>
                </c:pt>
                <c:pt idx="28">
                  <c:v>0.8</c:v>
                </c:pt>
                <c:pt idx="29">
                  <c:v>0.71</c:v>
                </c:pt>
                <c:pt idx="30">
                  <c:v>0.7</c:v>
                </c:pt>
                <c:pt idx="31">
                  <c:v>0.59</c:v>
                </c:pt>
                <c:pt idx="32">
                  <c:v>0.51</c:v>
                </c:pt>
                <c:pt idx="33">
                  <c:v>0.49</c:v>
                </c:pt>
                <c:pt idx="34">
                  <c:v>0.36</c:v>
                </c:pt>
                <c:pt idx="35">
                  <c:v>0.04</c:v>
                </c:pt>
                <c:pt idx="36">
                  <c:v>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4999504"/>
        <c:axId val="384999824"/>
      </c:barChart>
      <c:catAx>
        <c:axId val="38499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4999824"/>
        <c:crosses val="autoZero"/>
        <c:auto val="1"/>
        <c:lblAlgn val="ctr"/>
        <c:lblOffset val="100"/>
        <c:noMultiLvlLbl val="0"/>
      </c:catAx>
      <c:valAx>
        <c:axId val="38499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499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f00c2e8-ba60-4477-9aa8-1d95c7280190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30480</xdr:colOff>
      <xdr:row>0</xdr:row>
      <xdr:rowOff>22860</xdr:rowOff>
    </xdr:from>
    <xdr:to>
      <xdr:col>3</xdr:col>
      <xdr:colOff>304800</xdr:colOff>
      <xdr:row>2</xdr:row>
      <xdr:rowOff>168300</xdr:rowOff>
    </xdr:to>
    <xdr:sp>
      <xdr:nvSpPr>
        <xdr:cNvPr id="2" name="Rectangle: Rounded Corners 1"/>
        <xdr:cNvSpPr/>
      </xdr:nvSpPr>
      <xdr:spPr>
        <a:xfrm>
          <a:off x="30480" y="22860"/>
          <a:ext cx="3626485" cy="501015"/>
        </a:xfrm>
        <a:prstGeom prst="roundRect">
          <a:avLst/>
        </a:prstGeom>
        <a:gradFill flip="none" rotWithShape="1">
          <a:gsLst>
            <a:gs pos="88000">
              <a:schemeClr val="accent1">
                <a:lumMod val="40000"/>
                <a:lumOff val="60000"/>
              </a:schemeClr>
            </a:gs>
            <a:gs pos="0">
              <a:schemeClr val="accent1">
                <a:lumMod val="60000"/>
                <a:lumOff val="40000"/>
              </a:schemeClr>
            </a:gs>
          </a:gsLst>
          <a:lin ang="2700000" scaled="1"/>
          <a:tileRect/>
        </a:gradFill>
        <a:effectLst>
          <a:outerShdw blurRad="50800" dist="38100" dir="13500000" algn="b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>
              <a:solidFill>
                <a:schemeClr val="tx1"/>
              </a:solidFill>
            </a:rPr>
            <a:t>Covid-19 Data</a:t>
          </a:r>
          <a:r>
            <a:rPr lang="en-IN" sz="2800" baseline="0">
              <a:solidFill>
                <a:schemeClr val="tx1"/>
              </a:solidFill>
            </a:rPr>
            <a:t> : India</a:t>
          </a:r>
          <a:endParaRPr lang="en-IN" sz="2800" baseline="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3</xdr:col>
      <xdr:colOff>350520</xdr:colOff>
      <xdr:row>0</xdr:row>
      <xdr:rowOff>38100</xdr:rowOff>
    </xdr:from>
    <xdr:to>
      <xdr:col>4</xdr:col>
      <xdr:colOff>419100</xdr:colOff>
      <xdr:row>3</xdr:row>
      <xdr:rowOff>0</xdr:rowOff>
    </xdr:to>
    <xdr:sp textlink="'D:\Code\DataAgent\ExcelData\[covid_data.xlsx]totals'!A3">
      <xdr:nvSpPr>
        <xdr:cNvPr id="3" name="Rectangle: Rounded Corners 2"/>
        <xdr:cNvSpPr/>
      </xdr:nvSpPr>
      <xdr:spPr>
        <a:xfrm>
          <a:off x="3702685" y="38100"/>
          <a:ext cx="965835" cy="495300"/>
        </a:xfrm>
        <a:prstGeom prst="roundRect">
          <a:avLst/>
        </a:prstGeom>
        <a:solidFill>
          <a:srgbClr val="FFC000">
            <a:alpha val="56000"/>
          </a:srgbClr>
        </a:solidFill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fld id="{AAB4BFF2-8702-4943-A14C-ECF800F8E2F4}" type="TxLink">
            <a:rPr lang="en-US" sz="1600" b="0" i="0" u="none" strike="noStrike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3.44</a:t>
          </a:fld>
          <a:endParaRPr lang="en-IN" sz="20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</xdr:col>
      <xdr:colOff>784860</xdr:colOff>
      <xdr:row>1</xdr:row>
      <xdr:rowOff>60960</xdr:rowOff>
    </xdr:from>
    <xdr:to>
      <xdr:col>4</xdr:col>
      <xdr:colOff>297180</xdr:colOff>
      <xdr:row>2</xdr:row>
      <xdr:rowOff>76200</xdr:rowOff>
    </xdr:to>
    <xdr:sp>
      <xdr:nvSpPr>
        <xdr:cNvPr id="4" name="Rectangle 3"/>
        <xdr:cNvSpPr/>
      </xdr:nvSpPr>
      <xdr:spPr>
        <a:xfrm>
          <a:off x="4137025" y="238760"/>
          <a:ext cx="409575" cy="193040"/>
        </a:xfrm>
        <a:prstGeom prst="rect">
          <a:avLst/>
        </a:prstGeom>
        <a:solidFill>
          <a:schemeClr val="accent1">
            <a:alpha val="0"/>
          </a:schemeClr>
        </a:solidFill>
        <a:effectLst>
          <a:softEdge rad="1155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Cr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</xdr:col>
      <xdr:colOff>342900</xdr:colOff>
      <xdr:row>0</xdr:row>
      <xdr:rowOff>22860</xdr:rowOff>
    </xdr:from>
    <xdr:to>
      <xdr:col>4</xdr:col>
      <xdr:colOff>525780</xdr:colOff>
      <xdr:row>1</xdr:row>
      <xdr:rowOff>175260</xdr:rowOff>
    </xdr:to>
    <xdr:sp>
      <xdr:nvSpPr>
        <xdr:cNvPr id="5" name="Rectangle 4"/>
        <xdr:cNvSpPr/>
      </xdr:nvSpPr>
      <xdr:spPr>
        <a:xfrm>
          <a:off x="3695065" y="22860"/>
          <a:ext cx="1080135" cy="330200"/>
        </a:xfrm>
        <a:prstGeom prst="rect">
          <a:avLst/>
        </a:prstGeom>
        <a:solidFill>
          <a:schemeClr val="accent1">
            <a:alpha val="41000"/>
          </a:schemeClr>
        </a:solidFill>
        <a:effectLst>
          <a:softEdge rad="2286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Total</a:t>
          </a:r>
          <a:r>
            <a:rPr lang="en-IN" sz="1200">
              <a:solidFill>
                <a:sysClr val="windowText" lastClr="000000"/>
              </a:solidFill>
            </a:rPr>
            <a:t> </a:t>
          </a:r>
          <a:r>
            <a:rPr lang="en-IN" sz="1200" b="1">
              <a:solidFill>
                <a:sysClr val="windowText" lastClr="000000"/>
              </a:solidFill>
            </a:rPr>
            <a:t>cases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464820</xdr:colOff>
      <xdr:row>0</xdr:row>
      <xdr:rowOff>38100</xdr:rowOff>
    </xdr:from>
    <xdr:to>
      <xdr:col>6</xdr:col>
      <xdr:colOff>120420</xdr:colOff>
      <xdr:row>2</xdr:row>
      <xdr:rowOff>178460</xdr:rowOff>
    </xdr:to>
    <xdr:sp textlink="'D:\Code\DataAgent\ExcelData\[covid_data.xlsx]totals'!D5">
      <xdr:nvSpPr>
        <xdr:cNvPr id="6" name="Rectangle: Rounded Corners 5"/>
        <xdr:cNvSpPr/>
      </xdr:nvSpPr>
      <xdr:spPr>
        <a:xfrm>
          <a:off x="4714240" y="38100"/>
          <a:ext cx="1009015" cy="49593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fld id="{F6F709D1-1B47-4B1A-804B-DAA99478FECF}" type="TxLink">
            <a:rPr lang="en-US" sz="1600" b="0" i="0" u="none" strike="noStrike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98.3%</a:t>
          </a:fld>
          <a:endParaRPr lang="en-IN" sz="1600"/>
        </a:p>
      </xdr:txBody>
    </xdr:sp>
    <xdr:clientData/>
  </xdr:twoCellAnchor>
  <xdr:twoCellAnchor editAs="absolute">
    <xdr:from>
      <xdr:col>6</xdr:col>
      <xdr:colOff>167640</xdr:colOff>
      <xdr:row>0</xdr:row>
      <xdr:rowOff>45720</xdr:rowOff>
    </xdr:from>
    <xdr:to>
      <xdr:col>7</xdr:col>
      <xdr:colOff>432840</xdr:colOff>
      <xdr:row>3</xdr:row>
      <xdr:rowOff>7620</xdr:rowOff>
    </xdr:to>
    <xdr:sp textlink="'D:\Code\DataAgent\ExcelData\[covid_data.xlsx]totals'!C5">
      <xdr:nvSpPr>
        <xdr:cNvPr id="7" name="Rectangle: Rounded Corners 6"/>
        <xdr:cNvSpPr/>
      </xdr:nvSpPr>
      <xdr:spPr>
        <a:xfrm>
          <a:off x="5770880" y="45720"/>
          <a:ext cx="941705" cy="495300"/>
        </a:xfrm>
        <a:prstGeom prst="roundRect">
          <a:avLst/>
        </a:prstGeom>
        <a:solidFill>
          <a:srgbClr val="FF33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fld id="{D0D15C32-C062-40E8-9DC6-9B6D41067BB8}" type="TxLink">
            <a:rPr lang="en-US" sz="1600" b="0" i="0" u="none" strike="noStrike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1.3%</a:t>
          </a:fld>
          <a:endParaRPr lang="en-IN" sz="1600"/>
        </a:p>
      </xdr:txBody>
    </xdr:sp>
    <xdr:clientData/>
  </xdr:twoCellAnchor>
  <xdr:twoCellAnchor editAs="absolute">
    <xdr:from>
      <xdr:col>7</xdr:col>
      <xdr:colOff>487680</xdr:colOff>
      <xdr:row>0</xdr:row>
      <xdr:rowOff>38100</xdr:rowOff>
    </xdr:from>
    <xdr:to>
      <xdr:col>9</xdr:col>
      <xdr:colOff>143280</xdr:colOff>
      <xdr:row>2</xdr:row>
      <xdr:rowOff>178460</xdr:rowOff>
    </xdr:to>
    <xdr:sp textlink="'D:\Code\DataAgent\ExcelData\[covid_data.xlsx]totals'!H5">
      <xdr:nvSpPr>
        <xdr:cNvPr id="8" name="Rectangle: Rounded Corners 7"/>
        <xdr:cNvSpPr/>
      </xdr:nvSpPr>
      <xdr:spPr>
        <a:xfrm>
          <a:off x="6767830" y="38100"/>
          <a:ext cx="1009015" cy="495935"/>
        </a:xfrm>
        <a:prstGeom prst="roundRect">
          <a:avLst/>
        </a:prstGeom>
        <a:gradFill>
          <a:gsLst>
            <a:gs pos="97000">
              <a:srgbClr val="00B0F0"/>
            </a:gs>
            <a:gs pos="98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fld id="{825C163F-41B9-4CC5-B85F-818EEECB9820}" type="TxLink">
            <a:rPr lang="en-US" sz="1600" b="0" i="0" u="none" strike="noStrike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0.4%</a:t>
          </a:fld>
          <a:endParaRPr lang="en-IN" sz="1600" b="0"/>
        </a:p>
      </xdr:txBody>
    </xdr:sp>
    <xdr:clientData/>
  </xdr:twoCellAnchor>
  <xdr:twoCellAnchor editAs="absolute">
    <xdr:from>
      <xdr:col>4</xdr:col>
      <xdr:colOff>449580</xdr:colOff>
      <xdr:row>0</xdr:row>
      <xdr:rowOff>15240</xdr:rowOff>
    </xdr:from>
    <xdr:to>
      <xdr:col>6</xdr:col>
      <xdr:colOff>220980</xdr:colOff>
      <xdr:row>1</xdr:row>
      <xdr:rowOff>167640</xdr:rowOff>
    </xdr:to>
    <xdr:sp>
      <xdr:nvSpPr>
        <xdr:cNvPr id="9" name="Rectangle 8"/>
        <xdr:cNvSpPr/>
      </xdr:nvSpPr>
      <xdr:spPr>
        <a:xfrm>
          <a:off x="4699000" y="15240"/>
          <a:ext cx="1125220" cy="330200"/>
        </a:xfrm>
        <a:prstGeom prst="rect">
          <a:avLst/>
        </a:prstGeom>
        <a:solidFill>
          <a:schemeClr val="accent1">
            <a:alpha val="41000"/>
          </a:schemeClr>
        </a:solidFill>
        <a:effectLst>
          <a:softEdge rad="2286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Recovered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6</xdr:col>
      <xdr:colOff>190500</xdr:colOff>
      <xdr:row>0</xdr:row>
      <xdr:rowOff>7620</xdr:rowOff>
    </xdr:from>
    <xdr:to>
      <xdr:col>7</xdr:col>
      <xdr:colOff>571500</xdr:colOff>
      <xdr:row>1</xdr:row>
      <xdr:rowOff>160020</xdr:rowOff>
    </xdr:to>
    <xdr:sp>
      <xdr:nvSpPr>
        <xdr:cNvPr id="10" name="Rectangle 9"/>
        <xdr:cNvSpPr/>
      </xdr:nvSpPr>
      <xdr:spPr>
        <a:xfrm>
          <a:off x="5793740" y="7620"/>
          <a:ext cx="1057910" cy="330200"/>
        </a:xfrm>
        <a:prstGeom prst="rect">
          <a:avLst/>
        </a:prstGeom>
        <a:solidFill>
          <a:schemeClr val="accent1"/>
        </a:solidFill>
        <a:effectLst>
          <a:softEdge rad="2286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Death</a:t>
          </a:r>
          <a:r>
            <a:rPr lang="en-IN" sz="1200" baseline="0">
              <a:solidFill>
                <a:sysClr val="windowText" lastClr="000000"/>
              </a:solidFill>
            </a:rPr>
            <a:t> </a:t>
          </a:r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502920</xdr:colOff>
      <xdr:row>0</xdr:row>
      <xdr:rowOff>15240</xdr:rowOff>
    </xdr:from>
    <xdr:to>
      <xdr:col>9</xdr:col>
      <xdr:colOff>274320</xdr:colOff>
      <xdr:row>1</xdr:row>
      <xdr:rowOff>167640</xdr:rowOff>
    </xdr:to>
    <xdr:sp>
      <xdr:nvSpPr>
        <xdr:cNvPr id="11" name="Rectangle 10"/>
        <xdr:cNvSpPr/>
      </xdr:nvSpPr>
      <xdr:spPr>
        <a:xfrm>
          <a:off x="6783070" y="15240"/>
          <a:ext cx="1125220" cy="330200"/>
        </a:xfrm>
        <a:prstGeom prst="rect">
          <a:avLst/>
        </a:prstGeom>
        <a:solidFill>
          <a:schemeClr val="accent1">
            <a:alpha val="41000"/>
          </a:schemeClr>
        </a:solidFill>
        <a:effectLst>
          <a:softEdge rad="2286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ysClr val="windowText" lastClr="000000"/>
              </a:solidFill>
            </a:rPr>
            <a:t>Active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0</xdr:col>
      <xdr:colOff>0</xdr:colOff>
      <xdr:row>3</xdr:row>
      <xdr:rowOff>53340</xdr:rowOff>
    </xdr:from>
    <xdr:to>
      <xdr:col>9</xdr:col>
      <xdr:colOff>205740</xdr:colOff>
      <xdr:row>3</xdr:row>
      <xdr:rowOff>121920</xdr:rowOff>
    </xdr:to>
    <xdr:sp>
      <xdr:nvSpPr>
        <xdr:cNvPr id="12" name="Rectangle 11"/>
        <xdr:cNvSpPr/>
      </xdr:nvSpPr>
      <xdr:spPr>
        <a:xfrm>
          <a:off x="0" y="586740"/>
          <a:ext cx="7839710" cy="68580"/>
        </a:xfrm>
        <a:prstGeom prst="rect">
          <a:avLst/>
        </a:prstGeom>
        <a:ln>
          <a:gradFill>
            <a:gsLst>
              <a:gs pos="83000">
                <a:schemeClr val="tx1"/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23</xdr:row>
      <xdr:rowOff>144780</xdr:rowOff>
    </xdr:from>
    <xdr:to>
      <xdr:col>10</xdr:col>
      <xdr:colOff>586740</xdr:colOff>
      <xdr:row>38</xdr:row>
      <xdr:rowOff>83820</xdr:rowOff>
    </xdr:to>
    <xdr:graphicFrame>
      <xdr:nvGraphicFramePr>
        <xdr:cNvPr id="13" name="Chart 12"/>
        <xdr:cNvGraphicFramePr/>
      </xdr:nvGraphicFramePr>
      <xdr:xfrm>
        <a:off x="4249420" y="4424680"/>
        <a:ext cx="4648200" cy="2669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</xdr:colOff>
      <xdr:row>6</xdr:row>
      <xdr:rowOff>60960</xdr:rowOff>
    </xdr:from>
    <xdr:to>
      <xdr:col>11</xdr:col>
      <xdr:colOff>15240</xdr:colOff>
      <xdr:row>21</xdr:row>
      <xdr:rowOff>0</xdr:rowOff>
    </xdr:to>
    <xdr:graphicFrame>
      <xdr:nvGraphicFramePr>
        <xdr:cNvPr id="14" name="Chart 13"/>
        <xdr:cNvGraphicFramePr/>
      </xdr:nvGraphicFramePr>
      <xdr:xfrm>
        <a:off x="4264660" y="1191260"/>
        <a:ext cx="4738370" cy="2669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342900</xdr:colOff>
      <xdr:row>0</xdr:row>
      <xdr:rowOff>0</xdr:rowOff>
    </xdr:from>
    <xdr:to>
      <xdr:col>22</xdr:col>
      <xdr:colOff>0</xdr:colOff>
      <xdr:row>11</xdr:row>
      <xdr:rowOff>7620</xdr:rowOff>
    </xdr:to>
    <xdr:graphicFrame>
      <xdr:nvGraphicFramePr>
        <xdr:cNvPr id="15" name="Chart 14"/>
        <xdr:cNvGraphicFramePr/>
      </xdr:nvGraphicFramePr>
      <xdr:xfrm>
        <a:off x="12715240" y="0"/>
        <a:ext cx="3718560" cy="2026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601980</xdr:colOff>
      <xdr:row>22</xdr:row>
      <xdr:rowOff>114300</xdr:rowOff>
    </xdr:from>
    <xdr:to>
      <xdr:col>21</xdr:col>
      <xdr:colOff>586740</xdr:colOff>
      <xdr:row>38</xdr:row>
      <xdr:rowOff>7620</xdr:rowOff>
    </xdr:to>
    <xdr:graphicFrame>
      <xdr:nvGraphicFramePr>
        <xdr:cNvPr id="16" name="Chart 15"/>
        <xdr:cNvGraphicFramePr/>
      </xdr:nvGraphicFramePr>
      <xdr:xfrm>
        <a:off x="10943590" y="4197350"/>
        <a:ext cx="5400040" cy="2820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601980</xdr:colOff>
      <xdr:row>9</xdr:row>
      <xdr:rowOff>144780</xdr:rowOff>
    </xdr:from>
    <xdr:to>
      <xdr:col>22</xdr:col>
      <xdr:colOff>0</xdr:colOff>
      <xdr:row>23</xdr:row>
      <xdr:rowOff>7620</xdr:rowOff>
    </xdr:to>
    <xdr:graphicFrame>
      <xdr:nvGraphicFramePr>
        <xdr:cNvPr id="17" name="Chart 16"/>
        <xdr:cNvGraphicFramePr/>
      </xdr:nvGraphicFramePr>
      <xdr:xfrm>
        <a:off x="10943590" y="1808480"/>
        <a:ext cx="5490210" cy="2479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4</xdr:col>
      <xdr:colOff>15240</xdr:colOff>
      <xdr:row>4</xdr:row>
      <xdr:rowOff>0</xdr:rowOff>
    </xdr:from>
    <xdr:to>
      <xdr:col>11</xdr:col>
      <xdr:colOff>7620</xdr:colOff>
      <xdr:row>7</xdr:row>
      <xdr:rowOff>45720</xdr:rowOff>
    </xdr:to>
    <xdr:sp>
      <xdr:nvSpPr>
        <xdr:cNvPr id="18" name="Death Avg"/>
        <xdr:cNvSpPr/>
      </xdr:nvSpPr>
      <xdr:spPr>
        <a:xfrm>
          <a:off x="4264660" y="711200"/>
          <a:ext cx="4730750" cy="642620"/>
        </a:xfrm>
      </xdr:spPr>
    </xdr:sp>
    <xdr:clientData/>
  </xdr:twoCellAnchor>
  <xdr:twoCellAnchor editAs="oneCell">
    <xdr:from>
      <xdr:col>4</xdr:col>
      <xdr:colOff>7620</xdr:colOff>
      <xdr:row>20</xdr:row>
      <xdr:rowOff>121920</xdr:rowOff>
    </xdr:from>
    <xdr:to>
      <xdr:col>11</xdr:col>
      <xdr:colOff>22860</xdr:colOff>
      <xdr:row>24</xdr:row>
      <xdr:rowOff>15240</xdr:rowOff>
    </xdr:to>
    <xdr:sp>
      <xdr:nvSpPr>
        <xdr:cNvPr id="19" name="Recovered Average"/>
        <xdr:cNvSpPr/>
      </xdr:nvSpPr>
      <xdr:spPr>
        <a:xfrm>
          <a:off x="4257040" y="3804920"/>
          <a:ext cx="4753610" cy="668020"/>
        </a:xfrm>
      </xdr:spPr>
    </xdr:sp>
    <xdr:clientData/>
  </xdr:twoCellAnchor>
  <xdr:twoCellAnchor editAs="absolute">
    <xdr:from>
      <xdr:col>11</xdr:col>
      <xdr:colOff>7620</xdr:colOff>
      <xdr:row>4</xdr:row>
      <xdr:rowOff>7620</xdr:rowOff>
    </xdr:from>
    <xdr:to>
      <xdr:col>14</xdr:col>
      <xdr:colOff>7620</xdr:colOff>
      <xdr:row>38</xdr:row>
      <xdr:rowOff>7620</xdr:rowOff>
    </xdr:to>
    <xdr:sp>
      <xdr:nvSpPr>
        <xdr:cNvPr id="20" name="State/UTs"/>
        <xdr:cNvSpPr/>
      </xdr:nvSpPr>
      <xdr:spPr>
        <a:xfrm>
          <a:off x="8995410" y="718820"/>
          <a:ext cx="2030730" cy="6299200"/>
        </a:xfrm>
      </xdr:spPr>
    </xdr:sp>
    <xdr:clientData/>
  </xdr:twoCellAnchor>
  <xdr:twoCellAnchor editAs="oneCell">
    <xdr:from>
      <xdr:col>14</xdr:col>
      <xdr:colOff>0</xdr:colOff>
      <xdr:row>2</xdr:row>
      <xdr:rowOff>7621</xdr:rowOff>
    </xdr:from>
    <xdr:to>
      <xdr:col>17</xdr:col>
      <xdr:colOff>0</xdr:colOff>
      <xdr:row>9</xdr:row>
      <xdr:rowOff>160020</xdr:rowOff>
    </xdr:to>
    <xdr:sp>
      <xdr:nvSpPr>
        <xdr:cNvPr id="21" name="Zone"/>
        <xdr:cNvSpPr/>
      </xdr:nvSpPr>
      <xdr:spPr>
        <a:xfrm>
          <a:off x="11018520" y="363220"/>
          <a:ext cx="2030730" cy="1460500"/>
        </a:xfrm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419100</xdr:colOff>
      <xdr:row>4</xdr:row>
      <xdr:rowOff>121920</xdr:rowOff>
    </xdr:from>
    <xdr:to>
      <xdr:col>10</xdr:col>
      <xdr:colOff>114300</xdr:colOff>
      <xdr:row>19</xdr:row>
      <xdr:rowOff>121920</xdr:rowOff>
    </xdr:to>
    <xdr:graphicFrame>
      <xdr:nvGraphicFramePr>
        <xdr:cNvPr id="2" name="Chart 1"/>
        <xdr:cNvGraphicFramePr/>
      </xdr:nvGraphicFramePr>
      <xdr:xfrm>
        <a:off x="3449955" y="833120"/>
        <a:ext cx="518160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457200</xdr:colOff>
      <xdr:row>3</xdr:row>
      <xdr:rowOff>114300</xdr:rowOff>
    </xdr:from>
    <xdr:to>
      <xdr:col>10</xdr:col>
      <xdr:colOff>152400</xdr:colOff>
      <xdr:row>18</xdr:row>
      <xdr:rowOff>114300</xdr:rowOff>
    </xdr:to>
    <xdr:graphicFrame>
      <xdr:nvGraphicFramePr>
        <xdr:cNvPr id="2" name="Chart 1"/>
        <xdr:cNvGraphicFramePr/>
      </xdr:nvGraphicFramePr>
      <xdr:xfrm>
        <a:off x="3250565" y="647700"/>
        <a:ext cx="518160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vid_da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india zone wise"/>
      <sheetName val="totals"/>
      <sheetName val="DashBoard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38" sqref="A38:L1048576"/>
    </sheetView>
  </sheetViews>
  <sheetFormatPr defaultColWidth="0" defaultRowHeight="14" zeroHeight="1"/>
  <cols>
    <col min="1" max="1" width="19.2166666666667" customWidth="1"/>
    <col min="2" max="2" width="8.33333333333333" customWidth="1"/>
    <col min="3" max="3" width="12.775" customWidth="1"/>
    <col min="4" max="4" width="7.775" customWidth="1"/>
    <col min="5" max="5" width="12.775" customWidth="1"/>
    <col min="6" max="6" width="8.44166666666667" customWidth="1"/>
    <col min="7" max="7" width="14" customWidth="1"/>
    <col min="8" max="8" width="17.775" customWidth="1"/>
    <col min="9" max="9" width="16.1083333333333" customWidth="1"/>
    <col min="10" max="10" width="13.6666666666667" customWidth="1"/>
    <col min="11" max="11" width="13.2166666666667" customWidth="1"/>
    <col min="12" max="12" width="12.4416666666667" customWidth="1"/>
    <col min="13" max="16384" width="8.88333333333333" hidden="1"/>
  </cols>
  <sheetData>
    <row r="1" ht="17.5" spans="1:1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</row>
    <row r="2" spans="1:12">
      <c r="A2" t="s">
        <v>12</v>
      </c>
      <c r="B2" t="s">
        <v>13</v>
      </c>
      <c r="C2">
        <v>7670</v>
      </c>
      <c r="D2">
        <v>7</v>
      </c>
      <c r="E2">
        <v>7534</v>
      </c>
      <c r="F2">
        <v>129</v>
      </c>
      <c r="G2">
        <v>0.09</v>
      </c>
      <c r="H2">
        <v>98.23</v>
      </c>
      <c r="I2" t="s">
        <v>14</v>
      </c>
      <c r="J2">
        <v>1.68</v>
      </c>
      <c r="K2" t="s">
        <v>15</v>
      </c>
      <c r="L2">
        <v>399001</v>
      </c>
    </row>
    <row r="3" spans="1:12">
      <c r="A3" t="s">
        <v>16</v>
      </c>
      <c r="B3" t="s">
        <v>13</v>
      </c>
      <c r="C3">
        <v>2069770</v>
      </c>
      <c r="D3">
        <v>3128</v>
      </c>
      <c r="E3">
        <v>2052230</v>
      </c>
      <c r="F3">
        <v>14412</v>
      </c>
      <c r="G3">
        <v>0.15</v>
      </c>
      <c r="H3">
        <v>99.15</v>
      </c>
      <c r="I3" t="s">
        <v>15</v>
      </c>
      <c r="J3">
        <v>0.7</v>
      </c>
      <c r="K3" t="s">
        <v>14</v>
      </c>
      <c r="L3">
        <v>91702478</v>
      </c>
    </row>
    <row r="4" spans="1:12">
      <c r="A4" t="s">
        <v>17</v>
      </c>
      <c r="B4" t="s">
        <v>18</v>
      </c>
      <c r="C4">
        <v>55216</v>
      </c>
      <c r="D4">
        <v>42</v>
      </c>
      <c r="E4">
        <v>54894</v>
      </c>
      <c r="F4">
        <v>280</v>
      </c>
      <c r="G4">
        <v>0.08</v>
      </c>
      <c r="H4">
        <v>99.42</v>
      </c>
      <c r="I4" t="s">
        <v>15</v>
      </c>
      <c r="J4">
        <v>0.51</v>
      </c>
      <c r="K4" t="s">
        <v>14</v>
      </c>
      <c r="L4">
        <v>1711947</v>
      </c>
    </row>
    <row r="5" spans="1:12">
      <c r="A5" t="s">
        <v>19</v>
      </c>
      <c r="B5" t="s">
        <v>18</v>
      </c>
      <c r="C5">
        <v>613784</v>
      </c>
      <c r="D5">
        <v>3272</v>
      </c>
      <c r="E5">
        <v>604465</v>
      </c>
      <c r="F5">
        <v>6047</v>
      </c>
      <c r="G5">
        <v>0.53</v>
      </c>
      <c r="H5">
        <v>98.48</v>
      </c>
      <c r="I5" t="s">
        <v>15</v>
      </c>
      <c r="J5">
        <v>0.99</v>
      </c>
      <c r="K5" t="s">
        <v>14</v>
      </c>
      <c r="L5">
        <v>35998752</v>
      </c>
    </row>
    <row r="6" spans="1:12">
      <c r="A6" t="s">
        <v>20</v>
      </c>
      <c r="B6" t="s">
        <v>18</v>
      </c>
      <c r="C6">
        <v>726153</v>
      </c>
      <c r="D6">
        <v>29</v>
      </c>
      <c r="E6">
        <v>716462</v>
      </c>
      <c r="F6">
        <v>9662</v>
      </c>
      <c r="G6">
        <v>0</v>
      </c>
      <c r="H6">
        <v>98.67</v>
      </c>
      <c r="I6" t="s">
        <v>15</v>
      </c>
      <c r="J6">
        <v>1.33</v>
      </c>
      <c r="K6" t="s">
        <v>15</v>
      </c>
      <c r="L6">
        <v>128500364</v>
      </c>
    </row>
    <row r="7" spans="1:12">
      <c r="A7" t="s">
        <v>21</v>
      </c>
      <c r="B7" t="s">
        <v>22</v>
      </c>
      <c r="C7">
        <v>65380</v>
      </c>
      <c r="D7">
        <v>24</v>
      </c>
      <c r="E7">
        <v>64536</v>
      </c>
      <c r="F7">
        <v>820</v>
      </c>
      <c r="G7">
        <v>0.04</v>
      </c>
      <c r="H7">
        <v>98.71</v>
      </c>
      <c r="I7" t="s">
        <v>15</v>
      </c>
      <c r="J7">
        <v>1.25</v>
      </c>
      <c r="K7" t="s">
        <v>14</v>
      </c>
      <c r="L7">
        <v>1158040</v>
      </c>
    </row>
    <row r="8" spans="1:12">
      <c r="A8" t="s">
        <v>23</v>
      </c>
      <c r="B8" t="s">
        <v>18</v>
      </c>
      <c r="C8">
        <v>1006326</v>
      </c>
      <c r="D8">
        <v>230</v>
      </c>
      <c r="E8">
        <v>992508</v>
      </c>
      <c r="F8">
        <v>13588</v>
      </c>
      <c r="G8">
        <v>0.02</v>
      </c>
      <c r="H8">
        <v>98.63</v>
      </c>
      <c r="I8" t="s">
        <v>15</v>
      </c>
      <c r="J8">
        <v>1.35</v>
      </c>
      <c r="K8" t="s">
        <v>15</v>
      </c>
      <c r="L8">
        <v>32199722</v>
      </c>
    </row>
    <row r="9" spans="1:12">
      <c r="A9" t="s">
        <v>24</v>
      </c>
      <c r="B9" t="s">
        <v>25</v>
      </c>
      <c r="C9">
        <v>10682</v>
      </c>
      <c r="D9">
        <v>0</v>
      </c>
      <c r="E9">
        <v>10678</v>
      </c>
      <c r="F9">
        <v>4</v>
      </c>
      <c r="G9">
        <v>0</v>
      </c>
      <c r="H9">
        <v>99.96</v>
      </c>
      <c r="I9" t="s">
        <v>15</v>
      </c>
      <c r="J9">
        <v>0.04</v>
      </c>
      <c r="K9" t="s">
        <v>14</v>
      </c>
      <c r="L9">
        <v>773997</v>
      </c>
    </row>
    <row r="10" spans="1:12">
      <c r="A10" t="s">
        <v>26</v>
      </c>
      <c r="B10" t="s">
        <v>22</v>
      </c>
      <c r="C10">
        <v>1440388</v>
      </c>
      <c r="D10">
        <v>361</v>
      </c>
      <c r="E10">
        <v>1414934</v>
      </c>
      <c r="F10">
        <v>25093</v>
      </c>
      <c r="G10">
        <v>0.03</v>
      </c>
      <c r="H10">
        <v>98.23</v>
      </c>
      <c r="I10" t="s">
        <v>14</v>
      </c>
      <c r="J10">
        <v>1.74</v>
      </c>
      <c r="K10" t="s">
        <v>15</v>
      </c>
      <c r="L10">
        <v>19301096</v>
      </c>
    </row>
    <row r="11" spans="1:12">
      <c r="A11" t="s">
        <v>27</v>
      </c>
      <c r="B11" t="s">
        <v>25</v>
      </c>
      <c r="C11">
        <v>178467</v>
      </c>
      <c r="D11">
        <v>263</v>
      </c>
      <c r="E11">
        <v>174830</v>
      </c>
      <c r="F11">
        <v>3374</v>
      </c>
      <c r="G11">
        <v>0.15</v>
      </c>
      <c r="H11">
        <v>97.96</v>
      </c>
      <c r="I11" t="s">
        <v>14</v>
      </c>
      <c r="J11">
        <v>1.89</v>
      </c>
      <c r="K11" t="s">
        <v>15</v>
      </c>
      <c r="L11">
        <v>1521992</v>
      </c>
    </row>
    <row r="12" spans="1:12">
      <c r="A12" t="s">
        <v>28</v>
      </c>
      <c r="B12" t="s">
        <v>25</v>
      </c>
      <c r="C12">
        <v>826924</v>
      </c>
      <c r="D12">
        <v>226</v>
      </c>
      <c r="E12">
        <v>816608</v>
      </c>
      <c r="F12">
        <v>10090</v>
      </c>
      <c r="G12">
        <v>0.03</v>
      </c>
      <c r="H12">
        <v>98.75</v>
      </c>
      <c r="I12" t="s">
        <v>15</v>
      </c>
      <c r="J12">
        <v>1.22</v>
      </c>
      <c r="K12" t="s">
        <v>14</v>
      </c>
      <c r="L12">
        <v>70400153</v>
      </c>
    </row>
    <row r="13" spans="1:12">
      <c r="A13" t="s">
        <v>29</v>
      </c>
      <c r="B13" t="s">
        <v>22</v>
      </c>
      <c r="C13">
        <v>771420</v>
      </c>
      <c r="D13">
        <v>140</v>
      </c>
      <c r="E13">
        <v>761230</v>
      </c>
      <c r="F13">
        <v>10050</v>
      </c>
      <c r="G13">
        <v>0.02</v>
      </c>
      <c r="H13">
        <v>98.68</v>
      </c>
      <c r="I13" t="s">
        <v>15</v>
      </c>
      <c r="J13">
        <v>1.3</v>
      </c>
      <c r="K13" t="s">
        <v>15</v>
      </c>
      <c r="L13">
        <v>28900667</v>
      </c>
    </row>
    <row r="14" spans="1:12">
      <c r="A14" t="s">
        <v>30</v>
      </c>
      <c r="B14" t="s">
        <v>22</v>
      </c>
      <c r="C14">
        <v>225712</v>
      </c>
      <c r="D14">
        <v>1100</v>
      </c>
      <c r="E14">
        <v>220800</v>
      </c>
      <c r="F14">
        <v>3812</v>
      </c>
      <c r="G14">
        <v>0.49</v>
      </c>
      <c r="H14">
        <v>97.82</v>
      </c>
      <c r="I14" t="s">
        <v>14</v>
      </c>
      <c r="J14">
        <v>1.69</v>
      </c>
      <c r="K14" t="s">
        <v>15</v>
      </c>
      <c r="L14">
        <v>7503010</v>
      </c>
    </row>
    <row r="15" spans="1:12">
      <c r="A15" t="s">
        <v>31</v>
      </c>
      <c r="B15" t="s">
        <v>22</v>
      </c>
      <c r="C15">
        <v>334006</v>
      </c>
      <c r="D15">
        <v>1450</v>
      </c>
      <c r="E15">
        <v>328108</v>
      </c>
      <c r="F15">
        <v>4448</v>
      </c>
      <c r="G15">
        <v>0.43</v>
      </c>
      <c r="H15">
        <v>98.23</v>
      </c>
      <c r="I15" t="s">
        <v>14</v>
      </c>
      <c r="J15">
        <v>1.33</v>
      </c>
      <c r="K15" t="s">
        <v>15</v>
      </c>
      <c r="L15">
        <v>14999397</v>
      </c>
    </row>
    <row r="16" spans="1:12">
      <c r="A16" t="s">
        <v>32</v>
      </c>
      <c r="B16" t="s">
        <v>18</v>
      </c>
      <c r="C16">
        <v>348992</v>
      </c>
      <c r="D16">
        <v>141</v>
      </c>
      <c r="E16">
        <v>343713</v>
      </c>
      <c r="F16">
        <v>5138</v>
      </c>
      <c r="G16">
        <v>0.04</v>
      </c>
      <c r="H16">
        <v>98.49</v>
      </c>
      <c r="I16" t="s">
        <v>15</v>
      </c>
      <c r="J16">
        <v>1.47</v>
      </c>
      <c r="K16" t="s">
        <v>15</v>
      </c>
      <c r="L16">
        <v>40100376</v>
      </c>
    </row>
    <row r="17" spans="1:12">
      <c r="A17" t="s">
        <v>33</v>
      </c>
      <c r="B17" t="s">
        <v>13</v>
      </c>
      <c r="C17">
        <v>2991614</v>
      </c>
      <c r="D17">
        <v>8056</v>
      </c>
      <c r="E17">
        <v>2945415</v>
      </c>
      <c r="F17">
        <v>38143</v>
      </c>
      <c r="G17">
        <v>0.27</v>
      </c>
      <c r="H17">
        <v>98.46</v>
      </c>
      <c r="I17" t="s">
        <v>15</v>
      </c>
      <c r="J17">
        <v>1.27</v>
      </c>
      <c r="K17" t="s">
        <v>14</v>
      </c>
      <c r="L17">
        <v>69599762</v>
      </c>
    </row>
    <row r="18" spans="1:12">
      <c r="A18" t="s">
        <v>34</v>
      </c>
      <c r="B18" t="s">
        <v>13</v>
      </c>
      <c r="C18">
        <v>5055224</v>
      </c>
      <c r="D18">
        <v>69258</v>
      </c>
      <c r="E18">
        <v>4950281</v>
      </c>
      <c r="F18">
        <v>35685</v>
      </c>
      <c r="G18">
        <v>1.37</v>
      </c>
      <c r="H18">
        <v>97.92</v>
      </c>
      <c r="I18" t="s">
        <v>14</v>
      </c>
      <c r="J18">
        <v>0.71</v>
      </c>
      <c r="K18" t="s">
        <v>14</v>
      </c>
      <c r="L18">
        <v>34698876</v>
      </c>
    </row>
    <row r="19" spans="1:12">
      <c r="A19" t="s">
        <v>35</v>
      </c>
      <c r="B19" t="s">
        <v>22</v>
      </c>
      <c r="C19">
        <v>21148</v>
      </c>
      <c r="D19">
        <v>154</v>
      </c>
      <c r="E19">
        <v>20783</v>
      </c>
      <c r="F19">
        <v>211</v>
      </c>
      <c r="G19">
        <v>0.73</v>
      </c>
      <c r="H19">
        <v>98.27</v>
      </c>
      <c r="I19" t="s">
        <v>14</v>
      </c>
      <c r="J19">
        <v>1</v>
      </c>
      <c r="K19" t="s">
        <v>14</v>
      </c>
      <c r="L19">
        <v>290492</v>
      </c>
    </row>
    <row r="20" spans="1:12">
      <c r="A20" t="s">
        <v>36</v>
      </c>
      <c r="B20" t="s">
        <v>13</v>
      </c>
      <c r="C20">
        <v>10365</v>
      </c>
      <c r="D20">
        <v>0</v>
      </c>
      <c r="E20">
        <v>10314</v>
      </c>
      <c r="F20">
        <v>51</v>
      </c>
      <c r="G20">
        <v>0</v>
      </c>
      <c r="H20">
        <v>99.51</v>
      </c>
      <c r="I20" t="s">
        <v>15</v>
      </c>
      <c r="J20">
        <v>0.49</v>
      </c>
      <c r="K20" t="s">
        <v>14</v>
      </c>
      <c r="L20">
        <v>66001</v>
      </c>
    </row>
    <row r="21" spans="1:12">
      <c r="A21" t="s">
        <v>37</v>
      </c>
      <c r="B21" t="s">
        <v>25</v>
      </c>
      <c r="C21">
        <v>792956</v>
      </c>
      <c r="D21">
        <v>75</v>
      </c>
      <c r="E21">
        <v>782357</v>
      </c>
      <c r="F21">
        <v>10524</v>
      </c>
      <c r="G21">
        <v>0.01</v>
      </c>
      <c r="H21">
        <v>98.66</v>
      </c>
      <c r="I21" t="s">
        <v>15</v>
      </c>
      <c r="J21">
        <v>1.33</v>
      </c>
      <c r="K21" t="s">
        <v>15</v>
      </c>
      <c r="L21">
        <v>85002417</v>
      </c>
    </row>
    <row r="22" spans="1:12">
      <c r="A22" t="s">
        <v>38</v>
      </c>
      <c r="B22" t="s">
        <v>25</v>
      </c>
      <c r="C22">
        <v>6623344</v>
      </c>
      <c r="D22">
        <v>15866</v>
      </c>
      <c r="E22">
        <v>6466913</v>
      </c>
      <c r="F22">
        <v>140565</v>
      </c>
      <c r="G22">
        <v>0.24</v>
      </c>
      <c r="H22">
        <v>97.64</v>
      </c>
      <c r="I22" t="s">
        <v>14</v>
      </c>
      <c r="J22">
        <v>2.12</v>
      </c>
      <c r="K22" t="s">
        <v>15</v>
      </c>
      <c r="L22">
        <v>124904071</v>
      </c>
    </row>
    <row r="23" spans="1:12">
      <c r="A23" t="s">
        <v>39</v>
      </c>
      <c r="B23" t="s">
        <v>18</v>
      </c>
      <c r="C23">
        <v>124432</v>
      </c>
      <c r="D23">
        <v>799</v>
      </c>
      <c r="E23">
        <v>121687</v>
      </c>
      <c r="F23">
        <v>1946</v>
      </c>
      <c r="G23">
        <v>0.64</v>
      </c>
      <c r="H23">
        <v>97.79</v>
      </c>
      <c r="I23" t="s">
        <v>14</v>
      </c>
      <c r="J23">
        <v>1.56</v>
      </c>
      <c r="K23" t="s">
        <v>15</v>
      </c>
      <c r="L23">
        <v>3436948</v>
      </c>
    </row>
    <row r="24" spans="1:12">
      <c r="A24" t="s">
        <v>40</v>
      </c>
      <c r="B24" t="s">
        <v>18</v>
      </c>
      <c r="C24">
        <v>84013</v>
      </c>
      <c r="D24">
        <v>277</v>
      </c>
      <c r="E24">
        <v>82274</v>
      </c>
      <c r="F24">
        <v>1462</v>
      </c>
      <c r="G24">
        <v>0.33</v>
      </c>
      <c r="H24">
        <v>97.93</v>
      </c>
      <c r="I24" t="s">
        <v>14</v>
      </c>
      <c r="J24">
        <v>1.74</v>
      </c>
      <c r="K24" t="s">
        <v>15</v>
      </c>
      <c r="L24">
        <v>3772103</v>
      </c>
    </row>
    <row r="25" spans="1:12">
      <c r="A25" t="s">
        <v>41</v>
      </c>
      <c r="B25" t="s">
        <v>18</v>
      </c>
      <c r="C25">
        <v>128604</v>
      </c>
      <c r="D25">
        <v>5651</v>
      </c>
      <c r="E25">
        <v>122494</v>
      </c>
      <c r="F25">
        <v>459</v>
      </c>
      <c r="G25">
        <v>4.39</v>
      </c>
      <c r="H25">
        <v>95.25</v>
      </c>
      <c r="I25" t="s">
        <v>14</v>
      </c>
      <c r="J25">
        <v>0.36</v>
      </c>
      <c r="K25" t="s">
        <v>14</v>
      </c>
      <c r="L25">
        <v>1308967</v>
      </c>
    </row>
    <row r="26" spans="1:12">
      <c r="A26" t="s">
        <v>42</v>
      </c>
      <c r="B26" t="s">
        <v>18</v>
      </c>
      <c r="C26">
        <v>31978</v>
      </c>
      <c r="D26">
        <v>163</v>
      </c>
      <c r="E26">
        <v>31123</v>
      </c>
      <c r="F26">
        <v>692</v>
      </c>
      <c r="G26">
        <v>0.51</v>
      </c>
      <c r="H26">
        <v>97.33</v>
      </c>
      <c r="I26" t="s">
        <v>14</v>
      </c>
      <c r="J26">
        <v>2.16</v>
      </c>
      <c r="K26" t="s">
        <v>15</v>
      </c>
      <c r="L26">
        <v>2073074</v>
      </c>
    </row>
    <row r="27" spans="1:12">
      <c r="A27" t="s">
        <v>43</v>
      </c>
      <c r="B27" t="s">
        <v>18</v>
      </c>
      <c r="C27">
        <v>1045209</v>
      </c>
      <c r="D27">
        <v>2534</v>
      </c>
      <c r="E27">
        <v>1034300</v>
      </c>
      <c r="F27">
        <v>8375</v>
      </c>
      <c r="G27">
        <v>0.24</v>
      </c>
      <c r="H27">
        <v>98.96</v>
      </c>
      <c r="I27" t="s">
        <v>15</v>
      </c>
      <c r="J27">
        <v>0.8</v>
      </c>
      <c r="K27" t="s">
        <v>14</v>
      </c>
      <c r="L27">
        <v>47099270</v>
      </c>
    </row>
    <row r="28" spans="1:12">
      <c r="A28" t="s">
        <v>44</v>
      </c>
      <c r="B28" t="s">
        <v>13</v>
      </c>
      <c r="C28">
        <v>128401</v>
      </c>
      <c r="D28">
        <v>275</v>
      </c>
      <c r="E28">
        <v>126263</v>
      </c>
      <c r="F28">
        <v>1863</v>
      </c>
      <c r="G28">
        <v>0.21</v>
      </c>
      <c r="H28">
        <v>98.33</v>
      </c>
      <c r="I28" t="s">
        <v>14</v>
      </c>
      <c r="J28">
        <v>1.45</v>
      </c>
      <c r="K28" t="s">
        <v>15</v>
      </c>
      <c r="L28">
        <v>1646050</v>
      </c>
    </row>
    <row r="29" spans="1:12">
      <c r="A29" t="s">
        <v>45</v>
      </c>
      <c r="B29" t="s">
        <v>22</v>
      </c>
      <c r="C29">
        <v>602778</v>
      </c>
      <c r="D29">
        <v>318</v>
      </c>
      <c r="E29">
        <v>585889</v>
      </c>
      <c r="F29">
        <v>16571</v>
      </c>
      <c r="G29">
        <v>0.05</v>
      </c>
      <c r="H29">
        <v>97.2</v>
      </c>
      <c r="I29" t="s">
        <v>14</v>
      </c>
      <c r="J29">
        <v>2.75</v>
      </c>
      <c r="K29" t="s">
        <v>15</v>
      </c>
      <c r="L29">
        <v>30501026</v>
      </c>
    </row>
    <row r="30" spans="1:12">
      <c r="A30" t="s">
        <v>46</v>
      </c>
      <c r="B30" t="s">
        <v>25</v>
      </c>
      <c r="C30">
        <v>954503</v>
      </c>
      <c r="D30">
        <v>71</v>
      </c>
      <c r="E30">
        <v>945478</v>
      </c>
      <c r="F30">
        <v>8954</v>
      </c>
      <c r="G30">
        <v>0.01</v>
      </c>
      <c r="H30">
        <v>99.05</v>
      </c>
      <c r="I30" t="s">
        <v>15</v>
      </c>
      <c r="J30">
        <v>0.94</v>
      </c>
      <c r="K30" t="s">
        <v>14</v>
      </c>
      <c r="L30">
        <v>79502477</v>
      </c>
    </row>
    <row r="31" spans="1:12">
      <c r="A31" t="s">
        <v>47</v>
      </c>
      <c r="B31" t="s">
        <v>18</v>
      </c>
      <c r="C31">
        <v>32096</v>
      </c>
      <c r="D31">
        <v>121</v>
      </c>
      <c r="E31">
        <v>31575</v>
      </c>
      <c r="F31">
        <v>400</v>
      </c>
      <c r="G31">
        <v>0.38</v>
      </c>
      <c r="H31">
        <v>98.38</v>
      </c>
      <c r="I31" t="s">
        <v>15</v>
      </c>
      <c r="J31">
        <v>1.25</v>
      </c>
      <c r="K31" t="s">
        <v>14</v>
      </c>
      <c r="L31">
        <v>658019</v>
      </c>
    </row>
    <row r="32" spans="1:12">
      <c r="A32" t="s">
        <v>48</v>
      </c>
      <c r="B32" t="s">
        <v>13</v>
      </c>
      <c r="C32">
        <v>2714025</v>
      </c>
      <c r="D32">
        <v>9751</v>
      </c>
      <c r="E32">
        <v>2668001</v>
      </c>
      <c r="F32">
        <v>36273</v>
      </c>
      <c r="G32">
        <v>0.36</v>
      </c>
      <c r="H32">
        <v>98.3</v>
      </c>
      <c r="I32" t="s">
        <v>14</v>
      </c>
      <c r="J32">
        <v>1.34</v>
      </c>
      <c r="K32" t="s">
        <v>15</v>
      </c>
      <c r="L32">
        <v>83697770</v>
      </c>
    </row>
    <row r="33" spans="1:12">
      <c r="A33" t="s">
        <v>49</v>
      </c>
      <c r="B33" t="s">
        <v>13</v>
      </c>
      <c r="C33">
        <v>673469</v>
      </c>
      <c r="D33">
        <v>3741</v>
      </c>
      <c r="E33">
        <v>665755</v>
      </c>
      <c r="F33">
        <v>3973</v>
      </c>
      <c r="G33">
        <v>0.56</v>
      </c>
      <c r="H33">
        <v>98.85</v>
      </c>
      <c r="I33" t="s">
        <v>15</v>
      </c>
      <c r="J33">
        <v>0.59</v>
      </c>
      <c r="K33" t="s">
        <v>14</v>
      </c>
      <c r="L33">
        <v>38157311</v>
      </c>
    </row>
    <row r="34" spans="1:12">
      <c r="A34" t="s">
        <v>50</v>
      </c>
      <c r="B34" t="s">
        <v>18</v>
      </c>
      <c r="C34">
        <v>84665</v>
      </c>
      <c r="D34">
        <v>116</v>
      </c>
      <c r="E34">
        <v>83732</v>
      </c>
      <c r="F34">
        <v>817</v>
      </c>
      <c r="G34">
        <v>0.14</v>
      </c>
      <c r="H34">
        <v>98.9</v>
      </c>
      <c r="I34" t="s">
        <v>15</v>
      </c>
      <c r="J34">
        <v>0.96</v>
      </c>
      <c r="K34" t="s">
        <v>14</v>
      </c>
      <c r="L34">
        <v>4184959</v>
      </c>
    </row>
    <row r="35" spans="1:12">
      <c r="A35" t="s">
        <v>51</v>
      </c>
      <c r="B35" t="s">
        <v>22</v>
      </c>
      <c r="C35">
        <v>1710261</v>
      </c>
      <c r="D35">
        <v>90</v>
      </c>
      <c r="E35">
        <v>1687262</v>
      </c>
      <c r="F35">
        <v>22909</v>
      </c>
      <c r="G35">
        <v>0.01</v>
      </c>
      <c r="H35">
        <v>98.66</v>
      </c>
      <c r="I35" t="s">
        <v>15</v>
      </c>
      <c r="J35">
        <v>1.34</v>
      </c>
      <c r="K35" t="s">
        <v>15</v>
      </c>
      <c r="L35">
        <v>231502578</v>
      </c>
    </row>
    <row r="36" spans="1:12">
      <c r="A36" t="s">
        <v>52</v>
      </c>
      <c r="B36" t="s">
        <v>22</v>
      </c>
      <c r="C36">
        <v>344014</v>
      </c>
      <c r="D36">
        <v>158</v>
      </c>
      <c r="E36">
        <v>336453</v>
      </c>
      <c r="F36">
        <v>7403</v>
      </c>
      <c r="G36">
        <v>0.05</v>
      </c>
      <c r="H36">
        <v>97.8</v>
      </c>
      <c r="I36" t="s">
        <v>14</v>
      </c>
      <c r="J36">
        <v>2.15</v>
      </c>
      <c r="K36" t="s">
        <v>15</v>
      </c>
      <c r="L36">
        <v>11700099</v>
      </c>
    </row>
    <row r="37" spans="1:12">
      <c r="A37" t="s">
        <v>53</v>
      </c>
      <c r="B37" t="s">
        <v>18</v>
      </c>
      <c r="C37">
        <v>1603318</v>
      </c>
      <c r="D37">
        <v>8031</v>
      </c>
      <c r="E37">
        <v>1575980</v>
      </c>
      <c r="F37">
        <v>19307</v>
      </c>
      <c r="G37">
        <v>0.5</v>
      </c>
      <c r="H37">
        <v>98.29</v>
      </c>
      <c r="I37" t="s">
        <v>14</v>
      </c>
      <c r="J37">
        <v>1.2</v>
      </c>
      <c r="K37" t="s">
        <v>14</v>
      </c>
      <c r="L37">
        <v>100896618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showGridLines="0" showRowColHeaders="0" workbookViewId="0">
      <selection activeCell="L3" sqref="L3"/>
    </sheetView>
  </sheetViews>
  <sheetFormatPr defaultColWidth="0" defaultRowHeight="14" zeroHeight="1" outlineLevelCol="3"/>
  <cols>
    <col min="1" max="1" width="16.1083333333333" customWidth="1"/>
    <col min="2" max="2" width="11.775" customWidth="1"/>
    <col min="3" max="3" width="16.1083333333333" customWidth="1"/>
    <col min="4" max="4" width="11.775" customWidth="1"/>
    <col min="5" max="22" width="8.88333333333333" customWidth="1"/>
    <col min="23" max="16384" width="2.55833333333333" hidden="1"/>
  </cols>
  <sheetData>
    <row r="1"/>
    <row r="2"/>
    <row r="3"/>
    <row r="4"/>
    <row r="5" ht="17.5" spans="1:4">
      <c r="A5" s="4" t="s">
        <v>2</v>
      </c>
      <c r="B5" s="4"/>
      <c r="C5" s="4"/>
      <c r="D5" s="4"/>
    </row>
    <row r="6" ht="15.5" spans="1:4">
      <c r="A6" s="5" t="s">
        <v>54</v>
      </c>
      <c r="B6" s="5"/>
      <c r="C6" s="5" t="s">
        <v>55</v>
      </c>
    </row>
    <row r="7" spans="1:4">
      <c r="A7" s="6" t="s">
        <v>56</v>
      </c>
      <c r="B7" s="6" t="s">
        <v>57</v>
      </c>
      <c r="C7" s="6" t="s">
        <v>56</v>
      </c>
      <c r="D7" s="6" t="s">
        <v>57</v>
      </c>
    </row>
    <row r="8" spans="1:4">
      <c r="A8" s="2" t="s">
        <v>38</v>
      </c>
      <c r="B8" s="7">
        <v>6623344</v>
      </c>
      <c r="C8" s="2" t="s">
        <v>58</v>
      </c>
      <c r="D8">
        <v>7670</v>
      </c>
    </row>
    <row r="9" spans="1:4">
      <c r="A9" s="2" t="s">
        <v>34</v>
      </c>
      <c r="B9" s="7">
        <v>5055224</v>
      </c>
      <c r="C9" s="2" t="s">
        <v>36</v>
      </c>
      <c r="D9">
        <v>10365</v>
      </c>
    </row>
    <row r="10" spans="1:4">
      <c r="A10" s="2" t="s">
        <v>33</v>
      </c>
      <c r="B10" s="7">
        <v>2991614</v>
      </c>
      <c r="C10" s="2" t="s">
        <v>24</v>
      </c>
      <c r="D10">
        <v>10682</v>
      </c>
    </row>
    <row r="11" spans="1:4">
      <c r="A11" s="2" t="s">
        <v>48</v>
      </c>
      <c r="B11" s="7">
        <v>2714025</v>
      </c>
      <c r="C11" s="2" t="s">
        <v>35</v>
      </c>
      <c r="D11">
        <v>21148</v>
      </c>
    </row>
    <row r="12" spans="1:4">
      <c r="A12" s="2" t="s">
        <v>16</v>
      </c>
      <c r="B12" s="7">
        <v>2069770</v>
      </c>
      <c r="C12" s="2" t="s">
        <v>42</v>
      </c>
      <c r="D12">
        <v>31978</v>
      </c>
    </row>
    <row r="13"/>
    <row r="14" ht="17.5" spans="1:4">
      <c r="A14" s="8" t="s">
        <v>59</v>
      </c>
      <c r="B14" s="8"/>
      <c r="C14" s="8"/>
      <c r="D14" s="8"/>
    </row>
    <row r="15" ht="15.5" spans="1:4">
      <c r="A15" s="5" t="s">
        <v>54</v>
      </c>
      <c r="B15" s="5"/>
      <c r="C15" s="5" t="s">
        <v>55</v>
      </c>
    </row>
    <row r="16" spans="1:4">
      <c r="A16" s="6" t="s">
        <v>56</v>
      </c>
      <c r="B16" s="6" t="s">
        <v>60</v>
      </c>
      <c r="C16" s="6" t="s">
        <v>56</v>
      </c>
      <c r="D16" s="6" t="s">
        <v>60</v>
      </c>
    </row>
    <row r="17" spans="1:4">
      <c r="A17" s="2" t="s">
        <v>24</v>
      </c>
      <c r="B17">
        <v>99.96</v>
      </c>
      <c r="C17" s="2" t="s">
        <v>41</v>
      </c>
      <c r="D17">
        <v>95.25</v>
      </c>
    </row>
    <row r="18" spans="1:4">
      <c r="A18" s="2" t="s">
        <v>36</v>
      </c>
      <c r="B18">
        <v>99.51</v>
      </c>
      <c r="C18" s="2" t="s">
        <v>45</v>
      </c>
      <c r="D18">
        <v>97.2</v>
      </c>
    </row>
    <row r="19" spans="1:4">
      <c r="A19" s="2" t="s">
        <v>17</v>
      </c>
      <c r="B19">
        <v>99.42</v>
      </c>
      <c r="C19" s="2" t="s">
        <v>42</v>
      </c>
      <c r="D19">
        <v>97.33</v>
      </c>
    </row>
    <row r="20" spans="1:4">
      <c r="A20" s="2" t="s">
        <v>16</v>
      </c>
      <c r="B20">
        <v>99.15</v>
      </c>
      <c r="C20" s="2" t="s">
        <v>38</v>
      </c>
      <c r="D20">
        <v>97.64</v>
      </c>
    </row>
    <row r="21" spans="1:4">
      <c r="A21" s="2" t="s">
        <v>46</v>
      </c>
      <c r="B21">
        <v>99.05</v>
      </c>
      <c r="C21" s="2" t="s">
        <v>39</v>
      </c>
      <c r="D21">
        <v>97.79</v>
      </c>
    </row>
    <row r="22" ht="17.5" spans="1:4">
      <c r="A22" s="9" t="s">
        <v>61</v>
      </c>
      <c r="B22" s="9"/>
      <c r="C22" s="9"/>
      <c r="D22" s="9"/>
    </row>
    <row r="23" ht="15.5" spans="1:4">
      <c r="A23" s="5" t="s">
        <v>54</v>
      </c>
      <c r="B23" s="5"/>
      <c r="C23" s="5" t="s">
        <v>55</v>
      </c>
    </row>
    <row r="24" spans="1:4">
      <c r="A24" s="6" t="s">
        <v>56</v>
      </c>
      <c r="B24" s="6" t="s">
        <v>62</v>
      </c>
      <c r="C24" s="6" t="s">
        <v>56</v>
      </c>
      <c r="D24" s="6" t="s">
        <v>62</v>
      </c>
    </row>
    <row r="25" spans="1:4">
      <c r="A25" s="2" t="s">
        <v>45</v>
      </c>
      <c r="B25">
        <v>2.75</v>
      </c>
      <c r="C25" s="2" t="s">
        <v>24</v>
      </c>
      <c r="D25">
        <v>0.04</v>
      </c>
    </row>
    <row r="26" spans="1:4">
      <c r="A26" s="2" t="s">
        <v>42</v>
      </c>
      <c r="B26">
        <v>2.16</v>
      </c>
      <c r="C26" s="2" t="s">
        <v>41</v>
      </c>
      <c r="D26">
        <v>0.36</v>
      </c>
    </row>
    <row r="27" spans="1:4">
      <c r="A27" s="2" t="s">
        <v>52</v>
      </c>
      <c r="B27">
        <v>2.15</v>
      </c>
      <c r="C27" s="2" t="s">
        <v>36</v>
      </c>
      <c r="D27">
        <v>0.49</v>
      </c>
    </row>
    <row r="28" spans="1:4">
      <c r="A28" s="2" t="s">
        <v>38</v>
      </c>
      <c r="B28">
        <v>2.12</v>
      </c>
      <c r="C28" s="2" t="s">
        <v>17</v>
      </c>
      <c r="D28">
        <v>0.51</v>
      </c>
    </row>
    <row r="29" spans="1:4">
      <c r="A29" s="2" t="s">
        <v>27</v>
      </c>
      <c r="B29">
        <v>1.89</v>
      </c>
      <c r="C29" s="2" t="s">
        <v>49</v>
      </c>
      <c r="D29">
        <v>0.59</v>
      </c>
    </row>
    <row r="30"/>
    <row r="31" ht="17.5" spans="1:4">
      <c r="A31" s="10" t="s">
        <v>3</v>
      </c>
      <c r="B31" s="10"/>
      <c r="C31" s="10"/>
      <c r="D31" s="10"/>
    </row>
    <row r="32" ht="15.5" spans="1:4">
      <c r="A32" s="5" t="s">
        <v>54</v>
      </c>
      <c r="B32" s="5"/>
      <c r="C32" s="5" t="s">
        <v>55</v>
      </c>
    </row>
    <row r="33" spans="1:4">
      <c r="A33" s="6" t="s">
        <v>56</v>
      </c>
      <c r="B33" s="6" t="s">
        <v>63</v>
      </c>
      <c r="C33" s="6" t="s">
        <v>56</v>
      </c>
      <c r="D33" s="6" t="s">
        <v>63</v>
      </c>
    </row>
    <row r="34" spans="1:4">
      <c r="A34" s="2" t="s">
        <v>41</v>
      </c>
      <c r="B34">
        <v>4.39</v>
      </c>
      <c r="C34" s="2" t="s">
        <v>36</v>
      </c>
      <c r="D34">
        <v>0</v>
      </c>
    </row>
    <row r="35" spans="1:4">
      <c r="A35" s="2" t="s">
        <v>34</v>
      </c>
      <c r="B35">
        <v>1.37</v>
      </c>
      <c r="C35" s="2" t="s">
        <v>24</v>
      </c>
      <c r="D35">
        <v>0</v>
      </c>
    </row>
    <row r="36" spans="1:4">
      <c r="A36" s="2" t="s">
        <v>35</v>
      </c>
      <c r="B36">
        <v>0.73</v>
      </c>
      <c r="C36" s="2" t="s">
        <v>20</v>
      </c>
      <c r="D36">
        <v>0</v>
      </c>
    </row>
    <row r="37" spans="1:4">
      <c r="A37" s="2" t="s">
        <v>39</v>
      </c>
      <c r="B37">
        <v>0.64</v>
      </c>
      <c r="C37" s="2" t="s">
        <v>64</v>
      </c>
      <c r="D37">
        <v>0.01</v>
      </c>
    </row>
    <row r="38" spans="1:4">
      <c r="A38" s="2" t="s">
        <v>49</v>
      </c>
      <c r="B38">
        <v>0.56</v>
      </c>
      <c r="C38" s="2" t="s">
        <v>46</v>
      </c>
      <c r="D38">
        <v>0.01</v>
      </c>
    </row>
    <row r="39"/>
    <row r="40"/>
  </sheetData>
  <mergeCells count="4">
    <mergeCell ref="A5:D5"/>
    <mergeCell ref="A14:D14"/>
    <mergeCell ref="A22:D22"/>
    <mergeCell ref="A31:D31"/>
  </mergeCells>
  <conditionalFormatting sqref="B8:B1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{d339e007-6862-4e6e-8175-d62decb9e9b0}</x14:id>
        </ext>
      </extLst>
    </cfRule>
  </conditionalFormatting>
  <conditionalFormatting sqref="B17:B21">
    <cfRule type="dataBar" priority="6">
      <dataBar>
        <cfvo type="num" val="99.05"/>
        <cfvo type="num" val="99.96"/>
        <color rgb="FF63C384"/>
      </dataBar>
      <extLst>
        <ext xmlns:x14="http://schemas.microsoft.com/office/spreadsheetml/2009/9/main" uri="{B025F937-C7B1-47D3-B67F-A62EFF666E3E}">
          <x14:id>{991abbc9-8214-4cfc-bab6-3050391e0e28}</x14:id>
        </ext>
      </extLst>
    </cfRule>
  </conditionalFormatting>
  <conditionalFormatting sqref="B25:B29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{cf4aef64-7952-4738-81e1-9ad8d100d175}</x14:id>
        </ext>
      </extLst>
    </cfRule>
  </conditionalFormatting>
  <conditionalFormatting sqref="D8:D12">
    <cfRule type="dataBar" priority="7">
      <dataBar>
        <cfvo type="num" val="#REF!"/>
        <cfvo type="num" val="#REF!"/>
        <color rgb="FFFFB628"/>
      </dataBar>
      <extLst>
        <ext xmlns:x14="http://schemas.microsoft.com/office/spreadsheetml/2009/9/main" uri="{B025F937-C7B1-47D3-B67F-A62EFF666E3E}">
          <x14:id>{737175f6-6206-495a-9636-894c3e94f90c}</x14:id>
        </ext>
      </extLst>
    </cfRule>
  </conditionalFormatting>
  <conditionalFormatting sqref="C17:D21">
    <cfRule type="dataBar" priority="5">
      <dataBar>
        <cfvo type="num" val="97.79"/>
        <cfvo type="num" val="95.25"/>
        <color rgb="FF63C384"/>
      </dataBar>
      <extLst>
        <ext xmlns:x14="http://schemas.microsoft.com/office/spreadsheetml/2009/9/main" uri="{B025F937-C7B1-47D3-B67F-A62EFF666E3E}">
          <x14:id>{f4b312d3-8e1a-4688-8906-96721cabd5d0}</x14:id>
        </ext>
      </extLst>
    </cfRule>
  </conditionalFormatting>
  <conditionalFormatting sqref="C25:D29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{3e7462a7-58e3-4866-8b50-bdbfbd8616af}</x14:id>
        </ext>
      </extLst>
    </cfRule>
  </conditionalFormatting>
  <conditionalFormatting sqref="A34:B38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{21541b28-3340-4732-916b-1bb5b1023842}</x14:id>
        </ext>
      </extLst>
    </cfRule>
  </conditionalFormatting>
  <conditionalFormatting sqref="C34:D3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{66040729-fe63-4449-b617-0f5dd6a64245}</x14:id>
        </ext>
      </extLst>
    </cfRule>
  </conditionalFormatting>
  <pageMargins left="0.7" right="0.7" top="0.75" bottom="0.75" header="0.3" footer="0.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39e007-6862-4e6e-8175-d62decb9e9b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B8:B12</xm:sqref>
        </x14:conditionalFormatting>
        <x14:conditionalFormatting xmlns:xm="http://schemas.microsoft.com/office/excel/2006/main">
          <x14:cfRule type="dataBar" id="{991abbc9-8214-4cfc-bab6-3050391e0e28}">
            <x14:dataBar minLength="0" maxLength="100" border="1" negativeBarBorderColorSameAsPositive="0">
              <x14:cfvo type="num">
                <xm:f>99.05</xm:f>
              </x14:cfvo>
              <x14:cfvo type="num">
                <xm:f>99.96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B17:B21</xm:sqref>
        </x14:conditionalFormatting>
        <x14:conditionalFormatting xmlns:xm="http://schemas.microsoft.com/office/excel/2006/main">
          <x14:cfRule type="dataBar" id="{cf4aef64-7952-4738-81e1-9ad8d100d1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B25:B29</xm:sqref>
        </x14:conditionalFormatting>
        <x14:conditionalFormatting xmlns:xm="http://schemas.microsoft.com/office/excel/2006/main">
          <x14:cfRule type="dataBar" id="{737175f6-6206-495a-9636-894c3e94f90c}">
            <x14:dataBar minLength="0" maxLength="100" border="1" negativeBarBorderColorSameAsPositive="0" direction="leftToRight">
              <x14:cfvo type="num">
                <xm:f>#REF!</xm:f>
              </x14:cfvo>
              <x14:cfvo type="num">
                <xm:f>#REF!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D8:D12</xm:sqref>
        </x14:conditionalFormatting>
        <x14:conditionalFormatting xmlns:xm="http://schemas.microsoft.com/office/excel/2006/main">
          <x14:cfRule type="dataBar" id="{f4b312d3-8e1a-4688-8906-96721cabd5d0}">
            <x14:dataBar minLength="0" maxLength="100" border="1" negativeBarBorderColorSameAsPositive="0">
              <x14:cfvo type="num">
                <xm:f>97.79</xm:f>
              </x14:cfvo>
              <x14:cfvo type="num">
                <xm:f>95.25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C17:D21</xm:sqref>
        </x14:conditionalFormatting>
        <x14:conditionalFormatting xmlns:xm="http://schemas.microsoft.com/office/excel/2006/main">
          <x14:cfRule type="dataBar" id="{3e7462a7-58e3-4866-8b50-bdbfbd8616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C25:D29</xm:sqref>
        </x14:conditionalFormatting>
        <x14:conditionalFormatting xmlns:xm="http://schemas.microsoft.com/office/excel/2006/main">
          <x14:cfRule type="dataBar" id="{21541b28-3340-4732-916b-1bb5b10238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A34:B38</xm:sqref>
        </x14:conditionalFormatting>
        <x14:conditionalFormatting xmlns:xm="http://schemas.microsoft.com/office/excel/2006/main">
          <x14:cfRule type="dataBar" id="{66040729-fe63-4449-b617-0f5dd6a642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C34:D38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40"/>
  <sheetViews>
    <sheetView topLeftCell="A19" workbookViewId="0">
      <selection activeCell="A3" sqref="A3:C40"/>
    </sheetView>
  </sheetViews>
  <sheetFormatPr defaultColWidth="9" defaultRowHeight="14" outlineLevelCol="2"/>
  <cols>
    <col min="1" max="1" width="19.2166666666667" customWidth="1"/>
    <col min="2" max="2" width="10.3333333333333" customWidth="1"/>
    <col min="3" max="3" width="10.2166666666667" customWidth="1"/>
  </cols>
  <sheetData>
    <row r="3" spans="1:3">
      <c r="A3" t="s">
        <v>65</v>
      </c>
      <c r="B3" t="s">
        <v>2</v>
      </c>
      <c r="C3" t="s">
        <v>4</v>
      </c>
    </row>
    <row r="4" spans="1:3">
      <c r="A4" s="2" t="s">
        <v>12</v>
      </c>
      <c r="B4" s="3">
        <v>7670</v>
      </c>
      <c r="C4" s="3">
        <v>7534</v>
      </c>
    </row>
    <row r="5" spans="1:3">
      <c r="A5" s="2" t="s">
        <v>16</v>
      </c>
      <c r="B5" s="3">
        <v>2069770</v>
      </c>
      <c r="C5" s="3">
        <v>2052230</v>
      </c>
    </row>
    <row r="6" spans="1:3">
      <c r="A6" s="2" t="s">
        <v>17</v>
      </c>
      <c r="B6" s="3">
        <v>55216</v>
      </c>
      <c r="C6" s="3">
        <v>54894</v>
      </c>
    </row>
    <row r="7" spans="1:3">
      <c r="A7" s="2" t="s">
        <v>19</v>
      </c>
      <c r="B7" s="3">
        <v>613784</v>
      </c>
      <c r="C7" s="3">
        <v>604465</v>
      </c>
    </row>
    <row r="8" spans="1:3">
      <c r="A8" s="2" t="s">
        <v>20</v>
      </c>
      <c r="B8" s="3">
        <v>726153</v>
      </c>
      <c r="C8" s="3">
        <v>716462</v>
      </c>
    </row>
    <row r="9" spans="1:3">
      <c r="A9" s="2" t="s">
        <v>21</v>
      </c>
      <c r="B9" s="3">
        <v>65380</v>
      </c>
      <c r="C9" s="3">
        <v>64536</v>
      </c>
    </row>
    <row r="10" spans="1:3">
      <c r="A10" s="2" t="s">
        <v>23</v>
      </c>
      <c r="B10" s="3">
        <v>1006326</v>
      </c>
      <c r="C10" s="3">
        <v>992508</v>
      </c>
    </row>
    <row r="11" spans="1:3">
      <c r="A11" s="2" t="s">
        <v>24</v>
      </c>
      <c r="B11" s="3">
        <v>10682</v>
      </c>
      <c r="C11" s="3">
        <v>10678</v>
      </c>
    </row>
    <row r="12" spans="1:3">
      <c r="A12" s="2" t="s">
        <v>26</v>
      </c>
      <c r="B12" s="3">
        <v>1440388</v>
      </c>
      <c r="C12" s="3">
        <v>1414934</v>
      </c>
    </row>
    <row r="13" spans="1:3">
      <c r="A13" s="2" t="s">
        <v>27</v>
      </c>
      <c r="B13" s="3">
        <v>178467</v>
      </c>
      <c r="C13" s="3">
        <v>174830</v>
      </c>
    </row>
    <row r="14" spans="1:3">
      <c r="A14" s="2" t="s">
        <v>28</v>
      </c>
      <c r="B14" s="3">
        <v>826924</v>
      </c>
      <c r="C14" s="3">
        <v>816608</v>
      </c>
    </row>
    <row r="15" spans="1:3">
      <c r="A15" s="2" t="s">
        <v>29</v>
      </c>
      <c r="B15" s="3">
        <v>771420</v>
      </c>
      <c r="C15" s="3">
        <v>761230</v>
      </c>
    </row>
    <row r="16" spans="1:3">
      <c r="A16" s="2" t="s">
        <v>30</v>
      </c>
      <c r="B16" s="3">
        <v>225712</v>
      </c>
      <c r="C16" s="3">
        <v>220800</v>
      </c>
    </row>
    <row r="17" spans="1:3">
      <c r="A17" s="2" t="s">
        <v>31</v>
      </c>
      <c r="B17" s="3">
        <v>334006</v>
      </c>
      <c r="C17" s="3">
        <v>328108</v>
      </c>
    </row>
    <row r="18" spans="1:3">
      <c r="A18" s="2" t="s">
        <v>32</v>
      </c>
      <c r="B18" s="3">
        <v>348992</v>
      </c>
      <c r="C18" s="3">
        <v>343713</v>
      </c>
    </row>
    <row r="19" spans="1:3">
      <c r="A19" s="2" t="s">
        <v>33</v>
      </c>
      <c r="B19" s="3">
        <v>2991614</v>
      </c>
      <c r="C19" s="3">
        <v>2945415</v>
      </c>
    </row>
    <row r="20" spans="1:3">
      <c r="A20" s="2" t="s">
        <v>34</v>
      </c>
      <c r="B20" s="3">
        <v>5055224</v>
      </c>
      <c r="C20" s="3">
        <v>4950281</v>
      </c>
    </row>
    <row r="21" spans="1:3">
      <c r="A21" s="2" t="s">
        <v>35</v>
      </c>
      <c r="B21" s="3">
        <v>21148</v>
      </c>
      <c r="C21" s="3">
        <v>20783</v>
      </c>
    </row>
    <row r="22" spans="1:3">
      <c r="A22" s="2" t="s">
        <v>36</v>
      </c>
      <c r="B22" s="3">
        <v>10365</v>
      </c>
      <c r="C22" s="3">
        <v>10314</v>
      </c>
    </row>
    <row r="23" spans="1:3">
      <c r="A23" s="2" t="s">
        <v>37</v>
      </c>
      <c r="B23" s="3">
        <v>792956</v>
      </c>
      <c r="C23" s="3">
        <v>782357</v>
      </c>
    </row>
    <row r="24" spans="1:3">
      <c r="A24" s="2" t="s">
        <v>38</v>
      </c>
      <c r="B24" s="3">
        <v>6623344</v>
      </c>
      <c r="C24" s="3">
        <v>6466913</v>
      </c>
    </row>
    <row r="25" spans="1:3">
      <c r="A25" s="2" t="s">
        <v>39</v>
      </c>
      <c r="B25" s="3">
        <v>124432</v>
      </c>
      <c r="C25" s="3">
        <v>121687</v>
      </c>
    </row>
    <row r="26" spans="1:3">
      <c r="A26" s="2" t="s">
        <v>40</v>
      </c>
      <c r="B26" s="3">
        <v>84013</v>
      </c>
      <c r="C26" s="3">
        <v>82274</v>
      </c>
    </row>
    <row r="27" spans="1:3">
      <c r="A27" s="2" t="s">
        <v>41</v>
      </c>
      <c r="B27" s="3">
        <v>128604</v>
      </c>
      <c r="C27" s="3">
        <v>122494</v>
      </c>
    </row>
    <row r="28" spans="1:3">
      <c r="A28" s="2" t="s">
        <v>42</v>
      </c>
      <c r="B28" s="3">
        <v>31978</v>
      </c>
      <c r="C28" s="3">
        <v>31123</v>
      </c>
    </row>
    <row r="29" spans="1:3">
      <c r="A29" s="2" t="s">
        <v>43</v>
      </c>
      <c r="B29" s="3">
        <v>1045209</v>
      </c>
      <c r="C29" s="3">
        <v>1034300</v>
      </c>
    </row>
    <row r="30" spans="1:3">
      <c r="A30" s="2" t="s">
        <v>44</v>
      </c>
      <c r="B30" s="3">
        <v>128401</v>
      </c>
      <c r="C30" s="3">
        <v>126263</v>
      </c>
    </row>
    <row r="31" spans="1:3">
      <c r="A31" s="2" t="s">
        <v>45</v>
      </c>
      <c r="B31" s="3">
        <v>602778</v>
      </c>
      <c r="C31" s="3">
        <v>585889</v>
      </c>
    </row>
    <row r="32" spans="1:3">
      <c r="A32" s="2" t="s">
        <v>46</v>
      </c>
      <c r="B32" s="3">
        <v>954503</v>
      </c>
      <c r="C32" s="3">
        <v>945478</v>
      </c>
    </row>
    <row r="33" spans="1:3">
      <c r="A33" s="2" t="s">
        <v>47</v>
      </c>
      <c r="B33" s="3">
        <v>32096</v>
      </c>
      <c r="C33" s="3">
        <v>31575</v>
      </c>
    </row>
    <row r="34" spans="1:3">
      <c r="A34" s="2" t="s">
        <v>48</v>
      </c>
      <c r="B34" s="3">
        <v>2714025</v>
      </c>
      <c r="C34" s="3">
        <v>2668001</v>
      </c>
    </row>
    <row r="35" spans="1:3">
      <c r="A35" s="2" t="s">
        <v>49</v>
      </c>
      <c r="B35" s="3">
        <v>673469</v>
      </c>
      <c r="C35" s="3">
        <v>665755</v>
      </c>
    </row>
    <row r="36" spans="1:3">
      <c r="A36" s="2" t="s">
        <v>50</v>
      </c>
      <c r="B36" s="3">
        <v>84665</v>
      </c>
      <c r="C36" s="3">
        <v>83732</v>
      </c>
    </row>
    <row r="37" spans="1:3">
      <c r="A37" s="2" t="s">
        <v>51</v>
      </c>
      <c r="B37" s="3">
        <v>1710261</v>
      </c>
      <c r="C37" s="3">
        <v>1687262</v>
      </c>
    </row>
    <row r="38" spans="1:3">
      <c r="A38" s="2" t="s">
        <v>52</v>
      </c>
      <c r="B38" s="3">
        <v>344014</v>
      </c>
      <c r="C38" s="3">
        <v>336453</v>
      </c>
    </row>
    <row r="39" spans="1:3">
      <c r="A39" s="2" t="s">
        <v>53</v>
      </c>
      <c r="B39" s="3">
        <v>1603318</v>
      </c>
      <c r="C39" s="3">
        <v>1575980</v>
      </c>
    </row>
    <row r="40" spans="1:3">
      <c r="A40" s="2" t="s">
        <v>66</v>
      </c>
      <c r="B40" s="3">
        <v>34437307</v>
      </c>
      <c r="C40" s="3">
        <v>33837859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workbookViewId="0">
      <selection activeCell="N4" sqref="N4"/>
    </sheetView>
  </sheetViews>
  <sheetFormatPr defaultColWidth="9" defaultRowHeight="14" outlineLevelCol="2"/>
  <cols>
    <col min="1" max="1" width="19.2166666666667" customWidth="1"/>
    <col min="2" max="3" width="7" customWidth="1"/>
  </cols>
  <sheetData>
    <row r="1" spans="1:3">
      <c r="A1" t="s">
        <v>65</v>
      </c>
      <c r="B1" t="s">
        <v>3</v>
      </c>
      <c r="C1" t="s">
        <v>5</v>
      </c>
    </row>
    <row r="2" spans="1:3">
      <c r="A2" s="2" t="s">
        <v>34</v>
      </c>
      <c r="B2" s="3">
        <v>69258</v>
      </c>
      <c r="C2" s="3">
        <v>35685</v>
      </c>
    </row>
    <row r="3" spans="1:3">
      <c r="A3" s="2" t="s">
        <v>38</v>
      </c>
      <c r="B3" s="3">
        <v>15866</v>
      </c>
      <c r="C3" s="3">
        <v>140565</v>
      </c>
    </row>
    <row r="4" spans="1:3">
      <c r="A4" s="2" t="s">
        <v>48</v>
      </c>
      <c r="B4" s="3">
        <v>9751</v>
      </c>
      <c r="C4" s="3">
        <v>36273</v>
      </c>
    </row>
    <row r="5" spans="1:3">
      <c r="A5" s="2" t="s">
        <v>33</v>
      </c>
      <c r="B5" s="3">
        <v>8056</v>
      </c>
      <c r="C5" s="3">
        <v>38143</v>
      </c>
    </row>
    <row r="6" spans="1:3">
      <c r="A6" s="2" t="s">
        <v>53</v>
      </c>
      <c r="B6" s="3">
        <v>8031</v>
      </c>
      <c r="C6" s="3">
        <v>19307</v>
      </c>
    </row>
    <row r="7" spans="1:3">
      <c r="A7" s="2" t="s">
        <v>41</v>
      </c>
      <c r="B7" s="3">
        <v>5651</v>
      </c>
      <c r="C7" s="3">
        <v>459</v>
      </c>
    </row>
    <row r="8" spans="1:3">
      <c r="A8" s="2" t="s">
        <v>49</v>
      </c>
      <c r="B8" s="3">
        <v>3741</v>
      </c>
      <c r="C8" s="3">
        <v>3973</v>
      </c>
    </row>
    <row r="9" spans="1:3">
      <c r="A9" s="2" t="s">
        <v>19</v>
      </c>
      <c r="B9" s="3">
        <v>3272</v>
      </c>
      <c r="C9" s="3">
        <v>6047</v>
      </c>
    </row>
    <row r="10" spans="1:3">
      <c r="A10" s="2" t="s">
        <v>16</v>
      </c>
      <c r="B10" s="3">
        <v>3128</v>
      </c>
      <c r="C10" s="3">
        <v>14412</v>
      </c>
    </row>
    <row r="11" spans="1:3">
      <c r="A11" s="2" t="s">
        <v>43</v>
      </c>
      <c r="B11" s="3">
        <v>2534</v>
      </c>
      <c r="C11" s="3">
        <v>8375</v>
      </c>
    </row>
    <row r="12" spans="1:3">
      <c r="A12" s="2" t="s">
        <v>31</v>
      </c>
      <c r="B12" s="3">
        <v>1450</v>
      </c>
      <c r="C12" s="3">
        <v>4448</v>
      </c>
    </row>
    <row r="13" spans="1:3">
      <c r="A13" s="2" t="s">
        <v>30</v>
      </c>
      <c r="B13" s="3">
        <v>1100</v>
      </c>
      <c r="C13" s="3">
        <v>3812</v>
      </c>
    </row>
    <row r="14" spans="1:3">
      <c r="A14" s="2" t="s">
        <v>39</v>
      </c>
      <c r="B14" s="3">
        <v>799</v>
      </c>
      <c r="C14" s="3">
        <v>1946</v>
      </c>
    </row>
    <row r="15" spans="1:3">
      <c r="A15" s="2" t="s">
        <v>26</v>
      </c>
      <c r="B15" s="3">
        <v>361</v>
      </c>
      <c r="C15" s="3">
        <v>25093</v>
      </c>
    </row>
    <row r="16" spans="1:3">
      <c r="A16" s="2" t="s">
        <v>45</v>
      </c>
      <c r="B16" s="3">
        <v>318</v>
      </c>
      <c r="C16" s="3">
        <v>16571</v>
      </c>
    </row>
    <row r="17" spans="1:3">
      <c r="A17" s="2" t="s">
        <v>40</v>
      </c>
      <c r="B17" s="3">
        <v>277</v>
      </c>
      <c r="C17" s="3">
        <v>1462</v>
      </c>
    </row>
    <row r="18" spans="1:3">
      <c r="A18" s="2" t="s">
        <v>44</v>
      </c>
      <c r="B18" s="3">
        <v>275</v>
      </c>
      <c r="C18" s="3">
        <v>1863</v>
      </c>
    </row>
    <row r="19" spans="1:3">
      <c r="A19" s="2" t="s">
        <v>27</v>
      </c>
      <c r="B19" s="3">
        <v>263</v>
      </c>
      <c r="C19" s="3">
        <v>3374</v>
      </c>
    </row>
    <row r="20" spans="1:3">
      <c r="A20" s="2" t="s">
        <v>23</v>
      </c>
      <c r="B20" s="3">
        <v>230</v>
      </c>
      <c r="C20" s="3">
        <v>13588</v>
      </c>
    </row>
    <row r="21" spans="1:3">
      <c r="A21" s="2" t="s">
        <v>28</v>
      </c>
      <c r="B21" s="3">
        <v>226</v>
      </c>
      <c r="C21" s="3">
        <v>10090</v>
      </c>
    </row>
    <row r="22" spans="1:3">
      <c r="A22" s="2" t="s">
        <v>42</v>
      </c>
      <c r="B22" s="3">
        <v>163</v>
      </c>
      <c r="C22" s="3">
        <v>692</v>
      </c>
    </row>
    <row r="23" spans="1:3">
      <c r="A23" s="2" t="s">
        <v>52</v>
      </c>
      <c r="B23" s="3">
        <v>158</v>
      </c>
      <c r="C23" s="3">
        <v>7403</v>
      </c>
    </row>
    <row r="24" spans="1:3">
      <c r="A24" s="2" t="s">
        <v>35</v>
      </c>
      <c r="B24" s="3">
        <v>154</v>
      </c>
      <c r="C24" s="3">
        <v>211</v>
      </c>
    </row>
    <row r="25" spans="1:3">
      <c r="A25" s="2" t="s">
        <v>32</v>
      </c>
      <c r="B25" s="3">
        <v>141</v>
      </c>
      <c r="C25" s="3">
        <v>5138</v>
      </c>
    </row>
    <row r="26" spans="1:3">
      <c r="A26" s="2" t="s">
        <v>29</v>
      </c>
      <c r="B26" s="3">
        <v>140</v>
      </c>
      <c r="C26" s="3">
        <v>10050</v>
      </c>
    </row>
    <row r="27" spans="1:3">
      <c r="A27" s="2" t="s">
        <v>47</v>
      </c>
      <c r="B27" s="3">
        <v>121</v>
      </c>
      <c r="C27" s="3">
        <v>400</v>
      </c>
    </row>
    <row r="28" spans="1:3">
      <c r="A28" s="2" t="s">
        <v>50</v>
      </c>
      <c r="B28" s="3">
        <v>116</v>
      </c>
      <c r="C28" s="3">
        <v>817</v>
      </c>
    </row>
    <row r="29" spans="1:3">
      <c r="A29" s="2" t="s">
        <v>51</v>
      </c>
      <c r="B29" s="3">
        <v>90</v>
      </c>
      <c r="C29" s="3">
        <v>22909</v>
      </c>
    </row>
    <row r="30" spans="1:3">
      <c r="A30" s="2" t="s">
        <v>37</v>
      </c>
      <c r="B30" s="3">
        <v>75</v>
      </c>
      <c r="C30" s="3">
        <v>10524</v>
      </c>
    </row>
    <row r="31" spans="1:3">
      <c r="A31" s="2" t="s">
        <v>46</v>
      </c>
      <c r="B31" s="3">
        <v>71</v>
      </c>
      <c r="C31" s="3">
        <v>8954</v>
      </c>
    </row>
    <row r="32" spans="1:3">
      <c r="A32" s="2" t="s">
        <v>17</v>
      </c>
      <c r="B32" s="3">
        <v>42</v>
      </c>
      <c r="C32" s="3">
        <v>280</v>
      </c>
    </row>
    <row r="33" spans="1:3">
      <c r="A33" s="2" t="s">
        <v>20</v>
      </c>
      <c r="B33" s="3">
        <v>29</v>
      </c>
      <c r="C33" s="3">
        <v>9662</v>
      </c>
    </row>
    <row r="34" spans="1:3">
      <c r="A34" s="2" t="s">
        <v>21</v>
      </c>
      <c r="B34" s="3">
        <v>24</v>
      </c>
      <c r="C34" s="3">
        <v>820</v>
      </c>
    </row>
    <row r="35" spans="1:3">
      <c r="A35" s="2" t="s">
        <v>12</v>
      </c>
      <c r="B35" s="3">
        <v>7</v>
      </c>
      <c r="C35" s="3">
        <v>129</v>
      </c>
    </row>
    <row r="36" spans="1:3">
      <c r="A36" s="2" t="s">
        <v>24</v>
      </c>
      <c r="B36" s="3">
        <v>0</v>
      </c>
      <c r="C36" s="3">
        <v>4</v>
      </c>
    </row>
    <row r="37" spans="1:3">
      <c r="A37" s="2" t="s">
        <v>36</v>
      </c>
      <c r="B37" s="3">
        <v>0</v>
      </c>
      <c r="C37" s="3">
        <v>51</v>
      </c>
    </row>
    <row r="38" spans="1:3">
      <c r="A38" s="2" t="s">
        <v>66</v>
      </c>
      <c r="B38" s="3">
        <v>135918</v>
      </c>
      <c r="C38" s="3">
        <v>463530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J10" sqref="J10"/>
    </sheetView>
  </sheetViews>
  <sheetFormatPr defaultColWidth="9" defaultRowHeight="14" outlineLevelRow="5" outlineLevelCol="1"/>
  <cols>
    <col min="1" max="1" width="12.5583333333333" customWidth="1"/>
    <col min="2" max="2" width="17.775" customWidth="1"/>
  </cols>
  <sheetData>
    <row r="1" spans="1:2">
      <c r="A1" t="s">
        <v>65</v>
      </c>
      <c r="B1" t="s">
        <v>67</v>
      </c>
    </row>
    <row r="2" spans="1:2">
      <c r="A2" s="2" t="s">
        <v>18</v>
      </c>
      <c r="B2" s="3">
        <v>5884786</v>
      </c>
    </row>
    <row r="3" spans="1:2">
      <c r="A3" s="2" t="s">
        <v>22</v>
      </c>
      <c r="B3" s="3">
        <v>5515107</v>
      </c>
    </row>
    <row r="4" spans="1:2">
      <c r="A4" s="2" t="s">
        <v>13</v>
      </c>
      <c r="B4" s="3">
        <v>13650538</v>
      </c>
    </row>
    <row r="5" spans="1:2">
      <c r="A5" s="2" t="s">
        <v>25</v>
      </c>
      <c r="B5" s="3">
        <v>9386876</v>
      </c>
    </row>
    <row r="6" spans="1:2">
      <c r="A6" s="2" t="s">
        <v>66</v>
      </c>
      <c r="B6" s="3">
        <v>34437307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workbookViewId="0">
      <selection activeCell="B8" sqref="B8"/>
    </sheetView>
  </sheetViews>
  <sheetFormatPr defaultColWidth="9" defaultRowHeight="14" outlineLevelCol="1"/>
  <cols>
    <col min="1" max="1" width="19.2166666666667" customWidth="1"/>
    <col min="2" max="2" width="20.5583333333333" customWidth="1"/>
  </cols>
  <sheetData>
    <row r="1" spans="1:2">
      <c r="A1" t="s">
        <v>8</v>
      </c>
      <c r="B1" t="s">
        <v>68</v>
      </c>
    </row>
    <row r="3" spans="1:2">
      <c r="A3" t="s">
        <v>65</v>
      </c>
      <c r="B3" t="s">
        <v>69</v>
      </c>
    </row>
    <row r="4" spans="1:2">
      <c r="A4" s="2" t="s">
        <v>12</v>
      </c>
      <c r="B4" s="3">
        <v>98.23</v>
      </c>
    </row>
    <row r="5" spans="1:2">
      <c r="A5" s="2" t="s">
        <v>16</v>
      </c>
      <c r="B5" s="3">
        <v>99.15</v>
      </c>
    </row>
    <row r="6" spans="1:2">
      <c r="A6" s="2" t="s">
        <v>17</v>
      </c>
      <c r="B6" s="3">
        <v>99.42</v>
      </c>
    </row>
    <row r="7" spans="1:2">
      <c r="A7" s="2" t="s">
        <v>19</v>
      </c>
      <c r="B7" s="3">
        <v>98.48</v>
      </c>
    </row>
    <row r="8" spans="1:2">
      <c r="A8" s="2" t="s">
        <v>20</v>
      </c>
      <c r="B8" s="3">
        <v>98.67</v>
      </c>
    </row>
    <row r="9" spans="1:2">
      <c r="A9" s="2" t="s">
        <v>21</v>
      </c>
      <c r="B9" s="3">
        <v>98.71</v>
      </c>
    </row>
    <row r="10" spans="1:2">
      <c r="A10" s="2" t="s">
        <v>23</v>
      </c>
      <c r="B10" s="3">
        <v>98.63</v>
      </c>
    </row>
    <row r="11" spans="1:2">
      <c r="A11" s="2" t="s">
        <v>24</v>
      </c>
      <c r="B11" s="3">
        <v>99.96</v>
      </c>
    </row>
    <row r="12" spans="1:2">
      <c r="A12" s="2" t="s">
        <v>26</v>
      </c>
      <c r="B12" s="3">
        <v>98.23</v>
      </c>
    </row>
    <row r="13" spans="1:2">
      <c r="A13" s="2" t="s">
        <v>27</v>
      </c>
      <c r="B13" s="3">
        <v>97.96</v>
      </c>
    </row>
    <row r="14" spans="1:2">
      <c r="A14" s="2" t="s">
        <v>28</v>
      </c>
      <c r="B14" s="3">
        <v>98.75</v>
      </c>
    </row>
    <row r="15" spans="1:2">
      <c r="A15" s="2" t="s">
        <v>29</v>
      </c>
      <c r="B15" s="3">
        <v>98.68</v>
      </c>
    </row>
    <row r="16" spans="1:2">
      <c r="A16" s="2" t="s">
        <v>30</v>
      </c>
      <c r="B16" s="3">
        <v>97.82</v>
      </c>
    </row>
    <row r="17" spans="1:2">
      <c r="A17" s="2" t="s">
        <v>31</v>
      </c>
      <c r="B17" s="3">
        <v>98.23</v>
      </c>
    </row>
    <row r="18" spans="1:2">
      <c r="A18" s="2" t="s">
        <v>32</v>
      </c>
      <c r="B18" s="3">
        <v>98.49</v>
      </c>
    </row>
    <row r="19" spans="1:2">
      <c r="A19" s="2" t="s">
        <v>33</v>
      </c>
      <c r="B19" s="3">
        <v>98.46</v>
      </c>
    </row>
    <row r="20" spans="1:2">
      <c r="A20" s="2" t="s">
        <v>34</v>
      </c>
      <c r="B20" s="3">
        <v>97.92</v>
      </c>
    </row>
    <row r="21" spans="1:2">
      <c r="A21" s="2" t="s">
        <v>35</v>
      </c>
      <c r="B21" s="3">
        <v>98.27</v>
      </c>
    </row>
    <row r="22" spans="1:2">
      <c r="A22" s="2" t="s">
        <v>36</v>
      </c>
      <c r="B22" s="3">
        <v>99.51</v>
      </c>
    </row>
    <row r="23" spans="1:2">
      <c r="A23" s="2" t="s">
        <v>37</v>
      </c>
      <c r="B23" s="3">
        <v>98.66</v>
      </c>
    </row>
    <row r="24" spans="1:2">
      <c r="A24" s="2" t="s">
        <v>38</v>
      </c>
      <c r="B24" s="3">
        <v>97.64</v>
      </c>
    </row>
    <row r="25" spans="1:2">
      <c r="A25" s="2" t="s">
        <v>39</v>
      </c>
      <c r="B25" s="3">
        <v>97.79</v>
      </c>
    </row>
    <row r="26" spans="1:2">
      <c r="A26" s="2" t="s">
        <v>40</v>
      </c>
      <c r="B26" s="3">
        <v>97.93</v>
      </c>
    </row>
    <row r="27" spans="1:2">
      <c r="A27" s="2" t="s">
        <v>41</v>
      </c>
      <c r="B27" s="3">
        <v>95.25</v>
      </c>
    </row>
    <row r="28" spans="1:2">
      <c r="A28" s="2" t="s">
        <v>42</v>
      </c>
      <c r="B28" s="3">
        <v>97.33</v>
      </c>
    </row>
    <row r="29" spans="1:2">
      <c r="A29" s="2" t="s">
        <v>43</v>
      </c>
      <c r="B29" s="3">
        <v>98.96</v>
      </c>
    </row>
    <row r="30" spans="1:2">
      <c r="A30" s="2" t="s">
        <v>44</v>
      </c>
      <c r="B30" s="3">
        <v>98.33</v>
      </c>
    </row>
    <row r="31" spans="1:2">
      <c r="A31" s="2" t="s">
        <v>45</v>
      </c>
      <c r="B31" s="3">
        <v>97.2</v>
      </c>
    </row>
    <row r="32" spans="1:2">
      <c r="A32" s="2" t="s">
        <v>46</v>
      </c>
      <c r="B32" s="3">
        <v>99.05</v>
      </c>
    </row>
    <row r="33" spans="1:2">
      <c r="A33" s="2" t="s">
        <v>47</v>
      </c>
      <c r="B33" s="3">
        <v>98.38</v>
      </c>
    </row>
    <row r="34" spans="1:2">
      <c r="A34" s="2" t="s">
        <v>48</v>
      </c>
      <c r="B34" s="3">
        <v>98.3</v>
      </c>
    </row>
    <row r="35" spans="1:2">
      <c r="A35" s="2" t="s">
        <v>49</v>
      </c>
      <c r="B35" s="3">
        <v>98.85</v>
      </c>
    </row>
    <row r="36" spans="1:2">
      <c r="A36" s="2" t="s">
        <v>50</v>
      </c>
      <c r="B36" s="3">
        <v>98.9</v>
      </c>
    </row>
    <row r="37" spans="1:2">
      <c r="A37" s="2" t="s">
        <v>51</v>
      </c>
      <c r="B37" s="3">
        <v>98.66</v>
      </c>
    </row>
    <row r="38" spans="1:2">
      <c r="A38" s="2" t="s">
        <v>52</v>
      </c>
      <c r="B38" s="3">
        <v>97.8</v>
      </c>
    </row>
    <row r="39" spans="1:2">
      <c r="A39" s="2" t="s">
        <v>53</v>
      </c>
      <c r="B39" s="3">
        <v>98.29</v>
      </c>
    </row>
    <row r="40" spans="1:2">
      <c r="A40" s="2" t="s">
        <v>66</v>
      </c>
      <c r="B40" s="3">
        <v>3540.89</v>
      </c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workbookViewId="0">
      <selection activeCell="N24" sqref="N24"/>
    </sheetView>
  </sheetViews>
  <sheetFormatPr defaultColWidth="9" defaultRowHeight="14" outlineLevelCol="1"/>
  <cols>
    <col min="1" max="1" width="19.2166666666667" customWidth="1"/>
    <col min="2" max="2" width="17.4416666666667" customWidth="1"/>
  </cols>
  <sheetData>
    <row r="1" spans="1:2">
      <c r="A1" t="s">
        <v>10</v>
      </c>
      <c r="B1" t="s">
        <v>68</v>
      </c>
    </row>
    <row r="3" spans="1:2">
      <c r="A3" t="s">
        <v>65</v>
      </c>
      <c r="B3" t="s">
        <v>70</v>
      </c>
    </row>
    <row r="4" spans="1:2">
      <c r="A4" s="2" t="s">
        <v>45</v>
      </c>
      <c r="B4" s="3">
        <v>2.75</v>
      </c>
    </row>
    <row r="5" spans="1:2">
      <c r="A5" s="2" t="s">
        <v>42</v>
      </c>
      <c r="B5" s="3">
        <v>2.16</v>
      </c>
    </row>
    <row r="6" spans="1:2">
      <c r="A6" s="2" t="s">
        <v>52</v>
      </c>
      <c r="B6" s="3">
        <v>2.15</v>
      </c>
    </row>
    <row r="7" spans="1:2">
      <c r="A7" s="2" t="s">
        <v>38</v>
      </c>
      <c r="B7" s="3">
        <v>2.12</v>
      </c>
    </row>
    <row r="8" spans="1:2">
      <c r="A8" s="2" t="s">
        <v>27</v>
      </c>
      <c r="B8" s="3">
        <v>1.89</v>
      </c>
    </row>
    <row r="9" spans="1:2">
      <c r="A9" s="2" t="s">
        <v>40</v>
      </c>
      <c r="B9" s="3">
        <v>1.74</v>
      </c>
    </row>
    <row r="10" spans="1:2">
      <c r="A10" s="2" t="s">
        <v>26</v>
      </c>
      <c r="B10" s="3">
        <v>1.74</v>
      </c>
    </row>
    <row r="11" spans="1:2">
      <c r="A11" s="2" t="s">
        <v>30</v>
      </c>
      <c r="B11" s="3">
        <v>1.69</v>
      </c>
    </row>
    <row r="12" spans="1:2">
      <c r="A12" s="2" t="s">
        <v>12</v>
      </c>
      <c r="B12" s="3">
        <v>1.68</v>
      </c>
    </row>
    <row r="13" spans="1:2">
      <c r="A13" s="2" t="s">
        <v>39</v>
      </c>
      <c r="B13" s="3">
        <v>1.56</v>
      </c>
    </row>
    <row r="14" spans="1:2">
      <c r="A14" s="2" t="s">
        <v>32</v>
      </c>
      <c r="B14" s="3">
        <v>1.47</v>
      </c>
    </row>
    <row r="15" spans="1:2">
      <c r="A15" s="2" t="s">
        <v>44</v>
      </c>
      <c r="B15" s="3">
        <v>1.45</v>
      </c>
    </row>
    <row r="16" spans="1:2">
      <c r="A16" s="2" t="s">
        <v>23</v>
      </c>
      <c r="B16" s="3">
        <v>1.35</v>
      </c>
    </row>
    <row r="17" spans="1:2">
      <c r="A17" s="2" t="s">
        <v>48</v>
      </c>
      <c r="B17" s="3">
        <v>1.34</v>
      </c>
    </row>
    <row r="18" spans="1:2">
      <c r="A18" s="2" t="s">
        <v>51</v>
      </c>
      <c r="B18" s="3">
        <v>1.34</v>
      </c>
    </row>
    <row r="19" spans="1:2">
      <c r="A19" s="2" t="s">
        <v>31</v>
      </c>
      <c r="B19" s="3">
        <v>1.33</v>
      </c>
    </row>
    <row r="20" spans="1:2">
      <c r="A20" s="2" t="s">
        <v>37</v>
      </c>
      <c r="B20" s="3">
        <v>1.33</v>
      </c>
    </row>
    <row r="21" spans="1:2">
      <c r="A21" s="2" t="s">
        <v>20</v>
      </c>
      <c r="B21" s="3">
        <v>1.33</v>
      </c>
    </row>
    <row r="22" spans="1:2">
      <c r="A22" s="2" t="s">
        <v>29</v>
      </c>
      <c r="B22" s="3">
        <v>1.3</v>
      </c>
    </row>
    <row r="23" spans="1:2">
      <c r="A23" s="2" t="s">
        <v>33</v>
      </c>
      <c r="B23" s="3">
        <v>1.27</v>
      </c>
    </row>
    <row r="24" spans="1:2">
      <c r="A24" s="2" t="s">
        <v>21</v>
      </c>
      <c r="B24" s="3">
        <v>1.25</v>
      </c>
    </row>
    <row r="25" spans="1:2">
      <c r="A25" s="2" t="s">
        <v>47</v>
      </c>
      <c r="B25" s="3">
        <v>1.25</v>
      </c>
    </row>
    <row r="26" spans="1:2">
      <c r="A26" s="2" t="s">
        <v>28</v>
      </c>
      <c r="B26" s="3">
        <v>1.22</v>
      </c>
    </row>
    <row r="27" spans="1:2">
      <c r="A27" s="2" t="s">
        <v>53</v>
      </c>
      <c r="B27" s="3">
        <v>1.2</v>
      </c>
    </row>
    <row r="28" spans="1:2">
      <c r="A28" s="2" t="s">
        <v>35</v>
      </c>
      <c r="B28" s="3">
        <v>1</v>
      </c>
    </row>
    <row r="29" spans="1:2">
      <c r="A29" s="2" t="s">
        <v>19</v>
      </c>
      <c r="B29" s="3">
        <v>0.99</v>
      </c>
    </row>
    <row r="30" spans="1:2">
      <c r="A30" s="2" t="s">
        <v>50</v>
      </c>
      <c r="B30" s="3">
        <v>0.96</v>
      </c>
    </row>
    <row r="31" spans="1:2">
      <c r="A31" s="2" t="s">
        <v>46</v>
      </c>
      <c r="B31" s="3">
        <v>0.94</v>
      </c>
    </row>
    <row r="32" spans="1:2">
      <c r="A32" s="2" t="s">
        <v>43</v>
      </c>
      <c r="B32" s="3">
        <v>0.8</v>
      </c>
    </row>
    <row r="33" spans="1:2">
      <c r="A33" s="2" t="s">
        <v>34</v>
      </c>
      <c r="B33" s="3">
        <v>0.71</v>
      </c>
    </row>
    <row r="34" spans="1:2">
      <c r="A34" s="2" t="s">
        <v>16</v>
      </c>
      <c r="B34" s="3">
        <v>0.7</v>
      </c>
    </row>
    <row r="35" spans="1:2">
      <c r="A35" s="2" t="s">
        <v>49</v>
      </c>
      <c r="B35" s="3">
        <v>0.59</v>
      </c>
    </row>
    <row r="36" spans="1:2">
      <c r="A36" s="2" t="s">
        <v>17</v>
      </c>
      <c r="B36" s="3">
        <v>0.51</v>
      </c>
    </row>
    <row r="37" spans="1:2">
      <c r="A37" s="2" t="s">
        <v>36</v>
      </c>
      <c r="B37" s="3">
        <v>0.49</v>
      </c>
    </row>
    <row r="38" spans="1:2">
      <c r="A38" s="2" t="s">
        <v>41</v>
      </c>
      <c r="B38" s="3">
        <v>0.36</v>
      </c>
    </row>
    <row r="39" spans="1:2">
      <c r="A39" s="2" t="s">
        <v>24</v>
      </c>
      <c r="B39" s="3">
        <v>0.04</v>
      </c>
    </row>
    <row r="40" spans="1:2">
      <c r="A40" s="2" t="s">
        <v>66</v>
      </c>
      <c r="B40" s="3">
        <v>46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workbookViewId="0">
      <selection activeCell="E19" sqref="E19"/>
    </sheetView>
  </sheetViews>
  <sheetFormatPr defaultColWidth="8.66666666666667" defaultRowHeight="14"/>
  <sheetData>
    <row r="1" ht="16" customHeight="1" spans="1:14">
      <c r="A1" s="1">
        <v>1</v>
      </c>
      <c r="B1" s="1"/>
      <c r="C1" s="1"/>
      <c r="D1" s="1"/>
      <c r="E1" s="1"/>
    </row>
    <row r="2" spans="1:14">
      <c r="A2" s="1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</row>
    <row r="3" spans="1:14">
      <c r="A3" s="1"/>
      <c r="B3">
        <v>5</v>
      </c>
      <c r="C3">
        <v>6</v>
      </c>
      <c r="D3">
        <v>7</v>
      </c>
      <c r="E3">
        <v>8</v>
      </c>
      <c r="F3">
        <v>9</v>
      </c>
    </row>
    <row r="4" spans="1:14">
      <c r="A4" s="1"/>
      <c r="B4">
        <v>6</v>
      </c>
      <c r="C4">
        <v>7</v>
      </c>
      <c r="D4">
        <v>8</v>
      </c>
      <c r="E4">
        <v>9</v>
      </c>
      <c r="F4">
        <v>10</v>
      </c>
    </row>
    <row r="5" spans="1:14">
      <c r="A5" s="1"/>
      <c r="B5">
        <v>7</v>
      </c>
      <c r="C5">
        <v>8</v>
      </c>
      <c r="D5">
        <v>9</v>
      </c>
      <c r="E5">
        <v>10</v>
      </c>
      <c r="F5">
        <v>11</v>
      </c>
      <c r="L5" t="s">
        <v>65</v>
      </c>
      <c r="M5" t="s">
        <v>2</v>
      </c>
      <c r="N5" t="s">
        <v>4</v>
      </c>
    </row>
    <row r="6" spans="1:14">
      <c r="A6" s="1"/>
      <c r="B6">
        <v>8</v>
      </c>
      <c r="C6">
        <v>9</v>
      </c>
      <c r="D6">
        <v>10</v>
      </c>
      <c r="E6">
        <v>11</v>
      </c>
      <c r="F6">
        <v>12</v>
      </c>
      <c r="L6" s="2" t="s">
        <v>12</v>
      </c>
      <c r="M6" s="3">
        <v>7670</v>
      </c>
      <c r="N6" s="3">
        <v>7534</v>
      </c>
    </row>
    <row r="7" spans="1:14">
      <c r="A7" s="1"/>
      <c r="B7">
        <v>9</v>
      </c>
      <c r="C7">
        <v>10</v>
      </c>
      <c r="D7">
        <v>11</v>
      </c>
      <c r="E7">
        <v>12</v>
      </c>
      <c r="F7">
        <v>13</v>
      </c>
      <c r="L7" s="2" t="s">
        <v>16</v>
      </c>
      <c r="M7" s="3">
        <v>2069770</v>
      </c>
      <c r="N7" s="3">
        <v>2052230</v>
      </c>
    </row>
    <row r="8" spans="1:14">
      <c r="A8" s="1"/>
      <c r="B8">
        <v>10</v>
      </c>
      <c r="C8">
        <v>11</v>
      </c>
      <c r="D8">
        <v>12</v>
      </c>
      <c r="E8">
        <v>13</v>
      </c>
      <c r="F8">
        <v>14</v>
      </c>
      <c r="L8" s="2" t="s">
        <v>17</v>
      </c>
      <c r="M8" s="3">
        <v>55216</v>
      </c>
      <c r="N8" s="3">
        <v>54894</v>
      </c>
    </row>
    <row r="9" spans="1:14">
      <c r="A9" s="1"/>
      <c r="B9">
        <v>11</v>
      </c>
      <c r="C9">
        <v>12</v>
      </c>
      <c r="D9">
        <v>13</v>
      </c>
      <c r="E9">
        <v>14</v>
      </c>
      <c r="F9">
        <v>15</v>
      </c>
      <c r="L9" s="2" t="s">
        <v>19</v>
      </c>
      <c r="M9" s="3">
        <v>613784</v>
      </c>
      <c r="N9" s="3">
        <v>604465</v>
      </c>
    </row>
    <row r="10" spans="1:14">
      <c r="A10" s="1"/>
      <c r="B10">
        <v>12</v>
      </c>
      <c r="C10">
        <v>13</v>
      </c>
      <c r="D10">
        <v>14</v>
      </c>
      <c r="E10">
        <v>15</v>
      </c>
      <c r="F10">
        <v>16</v>
      </c>
      <c r="L10" s="2" t="s">
        <v>20</v>
      </c>
      <c r="M10" s="3">
        <v>726153</v>
      </c>
      <c r="N10" s="3">
        <v>716462</v>
      </c>
    </row>
    <row r="11" spans="1:14">
      <c r="A11" s="1"/>
      <c r="B11">
        <v>13</v>
      </c>
      <c r="C11">
        <v>14</v>
      </c>
      <c r="D11">
        <v>15</v>
      </c>
      <c r="E11">
        <v>16</v>
      </c>
      <c r="F11">
        <v>17</v>
      </c>
      <c r="L11" s="2" t="s">
        <v>21</v>
      </c>
      <c r="M11" s="3">
        <v>65380</v>
      </c>
      <c r="N11" s="3">
        <v>64536</v>
      </c>
    </row>
    <row r="12" spans="1:14">
      <c r="B12">
        <v>14</v>
      </c>
      <c r="C12">
        <v>15</v>
      </c>
      <c r="D12">
        <v>16</v>
      </c>
      <c r="E12">
        <v>17</v>
      </c>
      <c r="F12">
        <v>18</v>
      </c>
      <c r="L12" s="2" t="s">
        <v>23</v>
      </c>
      <c r="M12" s="3">
        <v>1006326</v>
      </c>
      <c r="N12" s="3">
        <v>992508</v>
      </c>
    </row>
    <row r="13" spans="1:14">
      <c r="B13">
        <v>15</v>
      </c>
      <c r="C13">
        <v>16</v>
      </c>
      <c r="D13">
        <v>17</v>
      </c>
      <c r="E13">
        <v>18</v>
      </c>
      <c r="F13">
        <v>19</v>
      </c>
      <c r="L13" s="2" t="s">
        <v>24</v>
      </c>
      <c r="M13" s="3">
        <v>10682</v>
      </c>
      <c r="N13" s="3">
        <v>10678</v>
      </c>
    </row>
    <row r="14" spans="1:14">
      <c r="A14" t="s">
        <v>77</v>
      </c>
      <c r="B14" t="s">
        <v>78</v>
      </c>
      <c r="L14" s="2" t="s">
        <v>26</v>
      </c>
      <c r="M14" s="3">
        <v>1440388</v>
      </c>
      <c r="N14" s="3">
        <v>1414934</v>
      </c>
    </row>
    <row r="15" spans="1:14">
      <c r="A15" t="s">
        <v>79</v>
      </c>
      <c r="L15" s="2" t="s">
        <v>27</v>
      </c>
      <c r="M15" s="3">
        <v>178467</v>
      </c>
      <c r="N15" s="3">
        <v>174830</v>
      </c>
    </row>
    <row r="16" spans="1:14">
      <c r="A16" t="s">
        <v>80</v>
      </c>
      <c r="L16" s="2" t="s">
        <v>28</v>
      </c>
      <c r="M16" s="3">
        <v>826924</v>
      </c>
      <c r="N16" s="3">
        <v>816608</v>
      </c>
    </row>
    <row r="17" spans="1:14">
      <c r="A17" t="s">
        <v>81</v>
      </c>
      <c r="L17" s="2" t="s">
        <v>29</v>
      </c>
      <c r="M17" s="3">
        <v>771420</v>
      </c>
      <c r="N17" s="3">
        <v>761230</v>
      </c>
    </row>
    <row r="18" spans="1:14">
      <c r="A18" t="s">
        <v>82</v>
      </c>
      <c r="B18">
        <f>B3+B4</f>
        <v>11</v>
      </c>
      <c r="L18" s="2" t="s">
        <v>30</v>
      </c>
      <c r="M18" s="3">
        <v>225712</v>
      </c>
      <c r="N18" s="3">
        <v>220800</v>
      </c>
    </row>
    <row r="19" spans="1:14">
      <c r="L19" s="2" t="s">
        <v>31</v>
      </c>
      <c r="M19" s="3">
        <v>334006</v>
      </c>
      <c r="N19" s="3">
        <v>328108</v>
      </c>
    </row>
    <row r="20" spans="1:14">
      <c r="L20" s="2" t="s">
        <v>32</v>
      </c>
      <c r="M20" s="3">
        <v>348992</v>
      </c>
      <c r="N20" s="3">
        <v>343713</v>
      </c>
    </row>
    <row r="21" spans="1:14">
      <c r="L21" s="2" t="s">
        <v>33</v>
      </c>
      <c r="M21" s="3">
        <v>2991614</v>
      </c>
      <c r="N21" s="3">
        <v>2945415</v>
      </c>
    </row>
    <row r="22" spans="1:14">
      <c r="L22" s="2" t="s">
        <v>34</v>
      </c>
      <c r="M22" s="3">
        <v>5055224</v>
      </c>
      <c r="N22" s="3">
        <v>4950281</v>
      </c>
    </row>
    <row r="23" spans="1:14">
      <c r="L23" s="2" t="s">
        <v>35</v>
      </c>
      <c r="M23" s="3">
        <v>21148</v>
      </c>
      <c r="N23" s="3">
        <v>20783</v>
      </c>
    </row>
    <row r="24" spans="1:14">
      <c r="L24" s="2" t="s">
        <v>36</v>
      </c>
      <c r="M24" s="3">
        <v>10365</v>
      </c>
      <c r="N24" s="3">
        <v>10314</v>
      </c>
    </row>
    <row r="25" spans="1:14">
      <c r="L25" s="2" t="s">
        <v>37</v>
      </c>
      <c r="M25" s="3">
        <v>792956</v>
      </c>
      <c r="N25" s="3">
        <v>782357</v>
      </c>
    </row>
    <row r="26" spans="1:14">
      <c r="L26" s="2" t="s">
        <v>38</v>
      </c>
      <c r="M26" s="3">
        <v>6623344</v>
      </c>
      <c r="N26" s="3">
        <v>6466913</v>
      </c>
    </row>
    <row r="27" spans="1:14">
      <c r="L27" s="2" t="s">
        <v>39</v>
      </c>
      <c r="M27" s="3">
        <v>124432</v>
      </c>
      <c r="N27" s="3">
        <v>121687</v>
      </c>
    </row>
    <row r="28" spans="1:14">
      <c r="L28" s="2" t="s">
        <v>40</v>
      </c>
      <c r="M28" s="3">
        <v>84013</v>
      </c>
      <c r="N28" s="3">
        <v>82274</v>
      </c>
    </row>
    <row r="29" spans="1:14">
      <c r="L29" s="2" t="s">
        <v>41</v>
      </c>
      <c r="M29" s="3">
        <v>128604</v>
      </c>
      <c r="N29" s="3">
        <v>122494</v>
      </c>
    </row>
    <row r="30" spans="1:14">
      <c r="L30" s="2" t="s">
        <v>42</v>
      </c>
      <c r="M30" s="3">
        <v>31978</v>
      </c>
      <c r="N30" s="3">
        <v>31123</v>
      </c>
    </row>
    <row r="31" spans="1:14">
      <c r="L31" s="2" t="s">
        <v>43</v>
      </c>
      <c r="M31" s="3">
        <v>1045209</v>
      </c>
      <c r="N31" s="3">
        <v>1034300</v>
      </c>
    </row>
    <row r="32" spans="1:14">
      <c r="L32" s="2" t="s">
        <v>44</v>
      </c>
      <c r="M32" s="3">
        <v>128401</v>
      </c>
      <c r="N32" s="3">
        <v>126263</v>
      </c>
    </row>
    <row r="33" spans="12:14">
      <c r="L33" s="2" t="s">
        <v>45</v>
      </c>
      <c r="M33" s="3">
        <v>602778</v>
      </c>
      <c r="N33" s="3">
        <v>585889</v>
      </c>
    </row>
    <row r="34" spans="12:14">
      <c r="L34" s="2" t="s">
        <v>46</v>
      </c>
      <c r="M34" s="3">
        <v>954503</v>
      </c>
      <c r="N34" s="3">
        <v>945478</v>
      </c>
    </row>
    <row r="35" spans="12:14">
      <c r="L35" s="2" t="s">
        <v>47</v>
      </c>
      <c r="M35" s="3">
        <v>32096</v>
      </c>
      <c r="N35" s="3">
        <v>31575</v>
      </c>
    </row>
    <row r="36" spans="12:14">
      <c r="L36" s="2" t="s">
        <v>48</v>
      </c>
      <c r="M36" s="3">
        <v>2714025</v>
      </c>
      <c r="N36" s="3">
        <v>2668001</v>
      </c>
    </row>
    <row r="37" spans="12:14">
      <c r="L37" s="2" t="s">
        <v>49</v>
      </c>
      <c r="M37" s="3">
        <v>673469</v>
      </c>
      <c r="N37" s="3">
        <v>665755</v>
      </c>
    </row>
    <row r="38" spans="12:14">
      <c r="L38" s="2" t="s">
        <v>50</v>
      </c>
      <c r="M38" s="3">
        <v>84665</v>
      </c>
      <c r="N38" s="3">
        <v>83732</v>
      </c>
    </row>
    <row r="39" spans="12:14">
      <c r="L39" s="2" t="s">
        <v>51</v>
      </c>
      <c r="M39" s="3">
        <v>1710261</v>
      </c>
      <c r="N39" s="3">
        <v>1687262</v>
      </c>
    </row>
    <row r="40" spans="12:14">
      <c r="L40" s="2" t="s">
        <v>52</v>
      </c>
      <c r="M40" s="3">
        <v>344014</v>
      </c>
      <c r="N40" s="3">
        <v>336453</v>
      </c>
    </row>
    <row r="41" spans="12:14">
      <c r="L41" s="2" t="s">
        <v>53</v>
      </c>
      <c r="M41" s="3">
        <v>1603318</v>
      </c>
      <c r="N41" s="3">
        <v>1575980</v>
      </c>
    </row>
    <row r="42" spans="12:14">
      <c r="L42" s="2" t="s">
        <v>66</v>
      </c>
      <c r="M42" s="3">
        <v>34437307</v>
      </c>
      <c r="N42" s="3">
        <v>33837859</v>
      </c>
    </row>
  </sheetData>
  <mergeCells count="3">
    <mergeCell ref="A1:E1"/>
    <mergeCell ref="A2:A11"/>
    <mergeCell ref="B14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Data</vt:lpstr>
      <vt:lpstr>DashBoard</vt:lpstr>
      <vt:lpstr>Cases and Recovered</vt:lpstr>
      <vt:lpstr>Active And Deaths</vt:lpstr>
      <vt:lpstr>States and Zones</vt:lpstr>
      <vt:lpstr>Recovered Index</vt:lpstr>
      <vt:lpstr>Death Index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</dc:creator>
  <cp:lastModifiedBy>旺？</cp:lastModifiedBy>
  <dcterms:created xsi:type="dcterms:W3CDTF">2015-06-05T18:17:00Z</dcterms:created>
  <dcterms:modified xsi:type="dcterms:W3CDTF">2026-01-14T13:49:42Z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0E1E555A1CAC4D068CC36D3AA70214E3_12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